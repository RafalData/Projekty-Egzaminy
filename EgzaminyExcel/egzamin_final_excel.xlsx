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Rafał\Desktop\LinkedIN\Egzaminy\"/>
    </mc:Choice>
  </mc:AlternateContent>
  <xr:revisionPtr revIDLastSave="0" documentId="13_ncr:1_{189F5890-EDE6-4632-B4BE-92EE5CBEA7BA}" xr6:coauthVersionLast="47" xr6:coauthVersionMax="47" xr10:uidLastSave="{00000000-0000-0000-0000-000000000000}"/>
  <bookViews>
    <workbookView xWindow="-120" yWindow="-120" windowWidth="29040" windowHeight="15720" tabRatio="785" activeTab="3" xr2:uid="{00000000-000D-0000-FFFF-FFFF00000000}"/>
  </bookViews>
  <sheets>
    <sheet name="Instrukcja" sheetId="1" r:id="rId1"/>
    <sheet name="Dane" sheetId="2" r:id="rId2"/>
    <sheet name="Produkty" sheetId="3" r:id="rId3"/>
    <sheet name="Z1_Funkcje_podstawowe" sheetId="4" r:id="rId4"/>
    <sheet name="Z2_Wyszukiwanie" sheetId="5" r:id="rId5"/>
    <sheet name="Z3_Tekst" sheetId="6" r:id="rId6"/>
    <sheet name="Z4_Agregacja_warunkowa" sheetId="7" r:id="rId7"/>
    <sheet name="Z5_Tabele" sheetId="8" r:id="rId8"/>
    <sheet name="Zestawienia" sheetId="13" r:id="rId9"/>
    <sheet name="Z6_Zestawienia" sheetId="9" r:id="rId10"/>
    <sheet name="Wizualizacje" sheetId="17" r:id="rId11"/>
    <sheet name="Z7_Wizualizacje" sheetId="10" r:id="rId12"/>
    <sheet name="Z8_Filtrowanie" sheetId="11" r:id="rId13"/>
  </sheets>
  <definedNames>
    <definedName name="Slicer_Lokalizacja">#N/A</definedName>
    <definedName name="Tbl_Dane">Table1[]</definedName>
    <definedName name="Tbl_Transakcje">Table1[]</definedName>
  </definedNames>
  <calcPr calcId="191029"/>
  <pivotCaches>
    <pivotCache cacheId="0"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T3" i="2" l="1"/>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2" i="2"/>
  <c r="B11" i="5"/>
  <c r="B16" i="7"/>
  <c r="B11" i="6"/>
  <c r="B6" i="5"/>
  <c r="B11" i="4"/>
  <c r="B11" i="7"/>
  <c r="B6" i="7"/>
  <c r="B31" i="6"/>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2" i="2"/>
  <c r="B26" i="6"/>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3" i="2"/>
  <c r="V2" i="2"/>
  <c r="B21" i="6"/>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2" i="2"/>
  <c r="B16" i="6"/>
  <c r="B6" i="6"/>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2" i="2"/>
  <c r="B21" i="5"/>
  <c r="P3" i="2"/>
  <c r="Q3" i="2" s="1"/>
  <c r="X3" i="2" s="1"/>
  <c r="P4" i="2"/>
  <c r="Q4" i="2" s="1"/>
  <c r="X4" i="2" s="1"/>
  <c r="P5" i="2"/>
  <c r="Q5" i="2" s="1"/>
  <c r="X5" i="2" s="1"/>
  <c r="P6" i="2"/>
  <c r="Q6" i="2" s="1"/>
  <c r="X6" i="2" s="1"/>
  <c r="P7" i="2"/>
  <c r="Q7" i="2" s="1"/>
  <c r="X7" i="2" s="1"/>
  <c r="P8" i="2"/>
  <c r="Q8" i="2" s="1"/>
  <c r="X8" i="2" s="1"/>
  <c r="P9" i="2"/>
  <c r="Q9" i="2" s="1"/>
  <c r="X9" i="2" s="1"/>
  <c r="P10" i="2"/>
  <c r="Q10" i="2" s="1"/>
  <c r="X10" i="2" s="1"/>
  <c r="P11" i="2"/>
  <c r="Q11" i="2" s="1"/>
  <c r="X11" i="2" s="1"/>
  <c r="P12" i="2"/>
  <c r="Q12" i="2" s="1"/>
  <c r="X12" i="2" s="1"/>
  <c r="P13" i="2"/>
  <c r="Q13" i="2" s="1"/>
  <c r="X13" i="2" s="1"/>
  <c r="P14" i="2"/>
  <c r="Q14" i="2" s="1"/>
  <c r="X14" i="2" s="1"/>
  <c r="P15" i="2"/>
  <c r="Q15" i="2" s="1"/>
  <c r="X15" i="2" s="1"/>
  <c r="P16" i="2"/>
  <c r="Q16" i="2" s="1"/>
  <c r="X16" i="2" s="1"/>
  <c r="P17" i="2"/>
  <c r="Q17" i="2" s="1"/>
  <c r="X17" i="2" s="1"/>
  <c r="P18" i="2"/>
  <c r="Q18" i="2" s="1"/>
  <c r="X18" i="2" s="1"/>
  <c r="P19" i="2"/>
  <c r="Q19" i="2" s="1"/>
  <c r="X19" i="2" s="1"/>
  <c r="P20" i="2"/>
  <c r="Q20" i="2" s="1"/>
  <c r="X20" i="2" s="1"/>
  <c r="P21" i="2"/>
  <c r="Q21" i="2" s="1"/>
  <c r="X21" i="2" s="1"/>
  <c r="P22" i="2"/>
  <c r="Q22" i="2" s="1"/>
  <c r="X22" i="2" s="1"/>
  <c r="P23" i="2"/>
  <c r="Q23" i="2" s="1"/>
  <c r="X23" i="2" s="1"/>
  <c r="P24" i="2"/>
  <c r="Q24" i="2" s="1"/>
  <c r="X24" i="2" s="1"/>
  <c r="P25" i="2"/>
  <c r="Q25" i="2" s="1"/>
  <c r="X25" i="2" s="1"/>
  <c r="P26" i="2"/>
  <c r="Q26" i="2" s="1"/>
  <c r="X26" i="2" s="1"/>
  <c r="P27" i="2"/>
  <c r="Q27" i="2" s="1"/>
  <c r="X27" i="2" s="1"/>
  <c r="P28" i="2"/>
  <c r="Q28" i="2" s="1"/>
  <c r="X28" i="2" s="1"/>
  <c r="P29" i="2"/>
  <c r="Q29" i="2" s="1"/>
  <c r="X29" i="2" s="1"/>
  <c r="P30" i="2"/>
  <c r="Q30" i="2" s="1"/>
  <c r="X30" i="2" s="1"/>
  <c r="P31" i="2"/>
  <c r="Q31" i="2" s="1"/>
  <c r="X31" i="2" s="1"/>
  <c r="P32" i="2"/>
  <c r="Q32" i="2" s="1"/>
  <c r="X32" i="2" s="1"/>
  <c r="P33" i="2"/>
  <c r="Q33" i="2" s="1"/>
  <c r="X33" i="2" s="1"/>
  <c r="P34" i="2"/>
  <c r="Q34" i="2" s="1"/>
  <c r="X34" i="2" s="1"/>
  <c r="P35" i="2"/>
  <c r="Q35" i="2" s="1"/>
  <c r="X35" i="2" s="1"/>
  <c r="P36" i="2"/>
  <c r="Q36" i="2" s="1"/>
  <c r="X36" i="2" s="1"/>
  <c r="P37" i="2"/>
  <c r="Q37" i="2" s="1"/>
  <c r="X37" i="2" s="1"/>
  <c r="P38" i="2"/>
  <c r="Q38" i="2" s="1"/>
  <c r="X38" i="2" s="1"/>
  <c r="P39" i="2"/>
  <c r="Q39" i="2" s="1"/>
  <c r="X39" i="2" s="1"/>
  <c r="P40" i="2"/>
  <c r="Q40" i="2" s="1"/>
  <c r="X40" i="2" s="1"/>
  <c r="P41" i="2"/>
  <c r="Q41" i="2" s="1"/>
  <c r="X41" i="2" s="1"/>
  <c r="P42" i="2"/>
  <c r="Q42" i="2" s="1"/>
  <c r="X42" i="2" s="1"/>
  <c r="P43" i="2"/>
  <c r="Q43" i="2" s="1"/>
  <c r="X43" i="2" s="1"/>
  <c r="P44" i="2"/>
  <c r="Q44" i="2" s="1"/>
  <c r="X44" i="2" s="1"/>
  <c r="P45" i="2"/>
  <c r="Q45" i="2" s="1"/>
  <c r="X45" i="2" s="1"/>
  <c r="P46" i="2"/>
  <c r="Q46" i="2" s="1"/>
  <c r="X46" i="2" s="1"/>
  <c r="P47" i="2"/>
  <c r="Q47" i="2" s="1"/>
  <c r="X47" i="2" s="1"/>
  <c r="P48" i="2"/>
  <c r="Q48" i="2" s="1"/>
  <c r="X48" i="2" s="1"/>
  <c r="P49" i="2"/>
  <c r="Q49" i="2" s="1"/>
  <c r="X49" i="2" s="1"/>
  <c r="P50" i="2"/>
  <c r="Q50" i="2" s="1"/>
  <c r="X50" i="2" s="1"/>
  <c r="P51" i="2"/>
  <c r="Q51" i="2" s="1"/>
  <c r="X51" i="2" s="1"/>
  <c r="P52" i="2"/>
  <c r="Q52" i="2" s="1"/>
  <c r="X52" i="2" s="1"/>
  <c r="P53" i="2"/>
  <c r="Q53" i="2" s="1"/>
  <c r="X53" i="2" s="1"/>
  <c r="P54" i="2"/>
  <c r="Q54" i="2" s="1"/>
  <c r="X54" i="2" s="1"/>
  <c r="P55" i="2"/>
  <c r="Q55" i="2" s="1"/>
  <c r="X55" i="2" s="1"/>
  <c r="P56" i="2"/>
  <c r="Q56" i="2" s="1"/>
  <c r="X56" i="2" s="1"/>
  <c r="P57" i="2"/>
  <c r="Q57" i="2" s="1"/>
  <c r="X57" i="2" s="1"/>
  <c r="P58" i="2"/>
  <c r="Q58" i="2" s="1"/>
  <c r="X58" i="2" s="1"/>
  <c r="P59" i="2"/>
  <c r="Q59" i="2" s="1"/>
  <c r="X59" i="2" s="1"/>
  <c r="P60" i="2"/>
  <c r="Q60" i="2" s="1"/>
  <c r="X60" i="2" s="1"/>
  <c r="P61" i="2"/>
  <c r="Q61" i="2" s="1"/>
  <c r="X61" i="2" s="1"/>
  <c r="P62" i="2"/>
  <c r="Q62" i="2" s="1"/>
  <c r="X62" i="2" s="1"/>
  <c r="P63" i="2"/>
  <c r="Q63" i="2" s="1"/>
  <c r="X63" i="2" s="1"/>
  <c r="P64" i="2"/>
  <c r="Q64" i="2" s="1"/>
  <c r="X64" i="2" s="1"/>
  <c r="P65" i="2"/>
  <c r="Q65" i="2" s="1"/>
  <c r="X65" i="2" s="1"/>
  <c r="P66" i="2"/>
  <c r="Q66" i="2" s="1"/>
  <c r="X66" i="2" s="1"/>
  <c r="P67" i="2"/>
  <c r="Q67" i="2" s="1"/>
  <c r="X67" i="2" s="1"/>
  <c r="P68" i="2"/>
  <c r="Q68" i="2" s="1"/>
  <c r="X68" i="2" s="1"/>
  <c r="P69" i="2"/>
  <c r="Q69" i="2" s="1"/>
  <c r="X69" i="2" s="1"/>
  <c r="P70" i="2"/>
  <c r="Q70" i="2" s="1"/>
  <c r="X70" i="2" s="1"/>
  <c r="P71" i="2"/>
  <c r="Q71" i="2" s="1"/>
  <c r="X71" i="2" s="1"/>
  <c r="P72" i="2"/>
  <c r="Q72" i="2" s="1"/>
  <c r="X72" i="2" s="1"/>
  <c r="P73" i="2"/>
  <c r="Q73" i="2" s="1"/>
  <c r="X73" i="2" s="1"/>
  <c r="P74" i="2"/>
  <c r="Q74" i="2" s="1"/>
  <c r="X74" i="2" s="1"/>
  <c r="P75" i="2"/>
  <c r="Q75" i="2" s="1"/>
  <c r="X75" i="2" s="1"/>
  <c r="P76" i="2"/>
  <c r="Q76" i="2" s="1"/>
  <c r="X76" i="2" s="1"/>
  <c r="P77" i="2"/>
  <c r="Q77" i="2" s="1"/>
  <c r="X77" i="2" s="1"/>
  <c r="P78" i="2"/>
  <c r="Q78" i="2" s="1"/>
  <c r="X78" i="2" s="1"/>
  <c r="P79" i="2"/>
  <c r="Q79" i="2" s="1"/>
  <c r="X79" i="2" s="1"/>
  <c r="P80" i="2"/>
  <c r="Q80" i="2" s="1"/>
  <c r="X80" i="2" s="1"/>
  <c r="P81" i="2"/>
  <c r="Q81" i="2" s="1"/>
  <c r="X81" i="2" s="1"/>
  <c r="P82" i="2"/>
  <c r="Q82" i="2" s="1"/>
  <c r="X82" i="2" s="1"/>
  <c r="P83" i="2"/>
  <c r="Q83" i="2" s="1"/>
  <c r="X83" i="2" s="1"/>
  <c r="P84" i="2"/>
  <c r="Q84" i="2" s="1"/>
  <c r="X84" i="2" s="1"/>
  <c r="P85" i="2"/>
  <c r="Q85" i="2" s="1"/>
  <c r="X85" i="2" s="1"/>
  <c r="P86" i="2"/>
  <c r="Q86" i="2" s="1"/>
  <c r="X86" i="2" s="1"/>
  <c r="P87" i="2"/>
  <c r="Q87" i="2" s="1"/>
  <c r="X87" i="2" s="1"/>
  <c r="P88" i="2"/>
  <c r="Q88" i="2" s="1"/>
  <c r="X88" i="2" s="1"/>
  <c r="P89" i="2"/>
  <c r="Q89" i="2" s="1"/>
  <c r="X89" i="2" s="1"/>
  <c r="P90" i="2"/>
  <c r="Q90" i="2" s="1"/>
  <c r="X90" i="2" s="1"/>
  <c r="P91" i="2"/>
  <c r="Q91" i="2" s="1"/>
  <c r="X91" i="2" s="1"/>
  <c r="P92" i="2"/>
  <c r="Q92" i="2" s="1"/>
  <c r="X92" i="2" s="1"/>
  <c r="P93" i="2"/>
  <c r="Q93" i="2" s="1"/>
  <c r="X93" i="2" s="1"/>
  <c r="P94" i="2"/>
  <c r="Q94" i="2" s="1"/>
  <c r="X94" i="2" s="1"/>
  <c r="P95" i="2"/>
  <c r="Q95" i="2" s="1"/>
  <c r="X95" i="2" s="1"/>
  <c r="P96" i="2"/>
  <c r="Q96" i="2" s="1"/>
  <c r="X96" i="2" s="1"/>
  <c r="P97" i="2"/>
  <c r="Q97" i="2" s="1"/>
  <c r="X97" i="2" s="1"/>
  <c r="P98" i="2"/>
  <c r="Q98" i="2" s="1"/>
  <c r="X98" i="2" s="1"/>
  <c r="P99" i="2"/>
  <c r="Q99" i="2" s="1"/>
  <c r="X99" i="2" s="1"/>
  <c r="P100" i="2"/>
  <c r="Q100" i="2" s="1"/>
  <c r="X100" i="2" s="1"/>
  <c r="P101" i="2"/>
  <c r="Q101" i="2" s="1"/>
  <c r="X101" i="2" s="1"/>
  <c r="P102" i="2"/>
  <c r="Q102" i="2" s="1"/>
  <c r="X102" i="2" s="1"/>
  <c r="P103" i="2"/>
  <c r="Q103" i="2" s="1"/>
  <c r="X103" i="2" s="1"/>
  <c r="P104" i="2"/>
  <c r="Q104" i="2" s="1"/>
  <c r="X104" i="2" s="1"/>
  <c r="P105" i="2"/>
  <c r="Q105" i="2" s="1"/>
  <c r="X105" i="2" s="1"/>
  <c r="P106" i="2"/>
  <c r="Q106" i="2" s="1"/>
  <c r="X106" i="2" s="1"/>
  <c r="P107" i="2"/>
  <c r="Q107" i="2" s="1"/>
  <c r="X107" i="2" s="1"/>
  <c r="P108" i="2"/>
  <c r="Q108" i="2" s="1"/>
  <c r="X108" i="2" s="1"/>
  <c r="P109" i="2"/>
  <c r="Q109" i="2" s="1"/>
  <c r="X109" i="2" s="1"/>
  <c r="P110" i="2"/>
  <c r="Q110" i="2" s="1"/>
  <c r="X110" i="2" s="1"/>
  <c r="P111" i="2"/>
  <c r="Q111" i="2" s="1"/>
  <c r="X111" i="2" s="1"/>
  <c r="P112" i="2"/>
  <c r="Q112" i="2" s="1"/>
  <c r="X112" i="2" s="1"/>
  <c r="P113" i="2"/>
  <c r="Q113" i="2" s="1"/>
  <c r="X113" i="2" s="1"/>
  <c r="P114" i="2"/>
  <c r="Q114" i="2" s="1"/>
  <c r="X114" i="2" s="1"/>
  <c r="P115" i="2"/>
  <c r="Q115" i="2" s="1"/>
  <c r="X115" i="2" s="1"/>
  <c r="P116" i="2"/>
  <c r="Q116" i="2" s="1"/>
  <c r="X116" i="2" s="1"/>
  <c r="P117" i="2"/>
  <c r="Q117" i="2" s="1"/>
  <c r="X117" i="2" s="1"/>
  <c r="P118" i="2"/>
  <c r="Q118" i="2" s="1"/>
  <c r="X118" i="2" s="1"/>
  <c r="P119" i="2"/>
  <c r="Q119" i="2" s="1"/>
  <c r="X119" i="2" s="1"/>
  <c r="P120" i="2"/>
  <c r="Q120" i="2" s="1"/>
  <c r="X120" i="2" s="1"/>
  <c r="P121" i="2"/>
  <c r="Q121" i="2" s="1"/>
  <c r="X121" i="2" s="1"/>
  <c r="P122" i="2"/>
  <c r="Q122" i="2" s="1"/>
  <c r="X122" i="2" s="1"/>
  <c r="P123" i="2"/>
  <c r="Q123" i="2" s="1"/>
  <c r="X123" i="2" s="1"/>
  <c r="P124" i="2"/>
  <c r="Q124" i="2" s="1"/>
  <c r="X124" i="2" s="1"/>
  <c r="P125" i="2"/>
  <c r="Q125" i="2" s="1"/>
  <c r="X125" i="2" s="1"/>
  <c r="P126" i="2"/>
  <c r="Q126" i="2" s="1"/>
  <c r="X126" i="2" s="1"/>
  <c r="P127" i="2"/>
  <c r="Q127" i="2" s="1"/>
  <c r="X127" i="2" s="1"/>
  <c r="P128" i="2"/>
  <c r="Q128" i="2" s="1"/>
  <c r="X128" i="2" s="1"/>
  <c r="P129" i="2"/>
  <c r="Q129" i="2" s="1"/>
  <c r="X129" i="2" s="1"/>
  <c r="P130" i="2"/>
  <c r="Q130" i="2" s="1"/>
  <c r="X130" i="2" s="1"/>
  <c r="P131" i="2"/>
  <c r="Q131" i="2" s="1"/>
  <c r="X131" i="2" s="1"/>
  <c r="P132" i="2"/>
  <c r="Q132" i="2" s="1"/>
  <c r="X132" i="2" s="1"/>
  <c r="P133" i="2"/>
  <c r="Q133" i="2" s="1"/>
  <c r="X133" i="2" s="1"/>
  <c r="P134" i="2"/>
  <c r="Q134" i="2" s="1"/>
  <c r="X134" i="2" s="1"/>
  <c r="P135" i="2"/>
  <c r="Q135" i="2" s="1"/>
  <c r="X135" i="2" s="1"/>
  <c r="P136" i="2"/>
  <c r="Q136" i="2" s="1"/>
  <c r="X136" i="2" s="1"/>
  <c r="P137" i="2"/>
  <c r="Q137" i="2" s="1"/>
  <c r="X137" i="2" s="1"/>
  <c r="P138" i="2"/>
  <c r="Q138" i="2" s="1"/>
  <c r="X138" i="2" s="1"/>
  <c r="P139" i="2"/>
  <c r="Q139" i="2" s="1"/>
  <c r="X139" i="2" s="1"/>
  <c r="P140" i="2"/>
  <c r="Q140" i="2" s="1"/>
  <c r="X140" i="2" s="1"/>
  <c r="P141" i="2"/>
  <c r="Q141" i="2" s="1"/>
  <c r="X141" i="2" s="1"/>
  <c r="P2" i="2"/>
  <c r="Q2" i="2" s="1"/>
  <c r="X2" i="2" s="1"/>
  <c r="B16" i="5"/>
  <c r="N3" i="2"/>
  <c r="O3" i="2" s="1"/>
  <c r="N4" i="2"/>
  <c r="O4" i="2" s="1"/>
  <c r="N5" i="2"/>
  <c r="O5" i="2" s="1"/>
  <c r="N6" i="2"/>
  <c r="O6" i="2" s="1"/>
  <c r="N7" i="2"/>
  <c r="O7" i="2" s="1"/>
  <c r="N8" i="2"/>
  <c r="O8" i="2" s="1"/>
  <c r="N9" i="2"/>
  <c r="O9" i="2" s="1"/>
  <c r="N10" i="2"/>
  <c r="O10" i="2" s="1"/>
  <c r="N11" i="2"/>
  <c r="O11" i="2" s="1"/>
  <c r="N12" i="2"/>
  <c r="O12" i="2" s="1"/>
  <c r="N13" i="2"/>
  <c r="O13" i="2" s="1"/>
  <c r="N14" i="2"/>
  <c r="O14" i="2" s="1"/>
  <c r="N15" i="2"/>
  <c r="O15" i="2" s="1"/>
  <c r="N16" i="2"/>
  <c r="O16" i="2" s="1"/>
  <c r="N17" i="2"/>
  <c r="O17" i="2" s="1"/>
  <c r="N18" i="2"/>
  <c r="O18" i="2" s="1"/>
  <c r="N19" i="2"/>
  <c r="O19" i="2" s="1"/>
  <c r="N20" i="2"/>
  <c r="O20" i="2" s="1"/>
  <c r="N21" i="2"/>
  <c r="N22" i="2"/>
  <c r="O22" i="2" s="1"/>
  <c r="N23" i="2"/>
  <c r="O23" i="2" s="1"/>
  <c r="N24" i="2"/>
  <c r="O24" i="2" s="1"/>
  <c r="N25" i="2"/>
  <c r="O25" i="2" s="1"/>
  <c r="N26" i="2"/>
  <c r="N27" i="2"/>
  <c r="O27" i="2" s="1"/>
  <c r="N28" i="2"/>
  <c r="O28" i="2" s="1"/>
  <c r="N29" i="2"/>
  <c r="O29" i="2" s="1"/>
  <c r="N30" i="2"/>
  <c r="O30" i="2" s="1"/>
  <c r="N31" i="2"/>
  <c r="O31" i="2" s="1"/>
  <c r="N32" i="2"/>
  <c r="O32" i="2" s="1"/>
  <c r="N33" i="2"/>
  <c r="O33" i="2" s="1"/>
  <c r="N34" i="2"/>
  <c r="O34" i="2" s="1"/>
  <c r="N35" i="2"/>
  <c r="O35" i="2" s="1"/>
  <c r="N36" i="2"/>
  <c r="O36" i="2" s="1"/>
  <c r="N37" i="2"/>
  <c r="O37" i="2" s="1"/>
  <c r="N38" i="2"/>
  <c r="O38" i="2" s="1"/>
  <c r="N39" i="2"/>
  <c r="O39" i="2" s="1"/>
  <c r="N40" i="2"/>
  <c r="O40" i="2" s="1"/>
  <c r="N41" i="2"/>
  <c r="O41" i="2" s="1"/>
  <c r="N42" i="2"/>
  <c r="O42" i="2" s="1"/>
  <c r="N43" i="2"/>
  <c r="O43" i="2" s="1"/>
  <c r="N44" i="2"/>
  <c r="O44" i="2" s="1"/>
  <c r="N45" i="2"/>
  <c r="O45" i="2" s="1"/>
  <c r="N46" i="2"/>
  <c r="O46" i="2" s="1"/>
  <c r="N47" i="2"/>
  <c r="O47" i="2" s="1"/>
  <c r="N48" i="2"/>
  <c r="O48" i="2" s="1"/>
  <c r="N49" i="2"/>
  <c r="O49" i="2" s="1"/>
  <c r="N50" i="2"/>
  <c r="O50" i="2" s="1"/>
  <c r="N51" i="2"/>
  <c r="O51" i="2" s="1"/>
  <c r="N52" i="2"/>
  <c r="O52" i="2" s="1"/>
  <c r="N53" i="2"/>
  <c r="O53" i="2" s="1"/>
  <c r="N54" i="2"/>
  <c r="O54" i="2" s="1"/>
  <c r="N55" i="2"/>
  <c r="O55" i="2" s="1"/>
  <c r="N56" i="2"/>
  <c r="O56" i="2" s="1"/>
  <c r="N57" i="2"/>
  <c r="O57" i="2" s="1"/>
  <c r="N58" i="2"/>
  <c r="O58" i="2" s="1"/>
  <c r="N59" i="2"/>
  <c r="O59" i="2" s="1"/>
  <c r="N60" i="2"/>
  <c r="O60" i="2" s="1"/>
  <c r="N61" i="2"/>
  <c r="O61" i="2" s="1"/>
  <c r="N62" i="2"/>
  <c r="O62" i="2" s="1"/>
  <c r="N63" i="2"/>
  <c r="O63" i="2" s="1"/>
  <c r="N64" i="2"/>
  <c r="O64" i="2" s="1"/>
  <c r="N65" i="2"/>
  <c r="O65" i="2" s="1"/>
  <c r="N66" i="2"/>
  <c r="O66" i="2" s="1"/>
  <c r="N67" i="2"/>
  <c r="O67" i="2" s="1"/>
  <c r="N68" i="2"/>
  <c r="O68" i="2" s="1"/>
  <c r="N69" i="2"/>
  <c r="O69" i="2" s="1"/>
  <c r="N70" i="2"/>
  <c r="O70" i="2" s="1"/>
  <c r="N71" i="2"/>
  <c r="O71" i="2" s="1"/>
  <c r="N72" i="2"/>
  <c r="O72" i="2" s="1"/>
  <c r="N73" i="2"/>
  <c r="O73" i="2" s="1"/>
  <c r="N74" i="2"/>
  <c r="O74" i="2" s="1"/>
  <c r="N75" i="2"/>
  <c r="O75" i="2" s="1"/>
  <c r="N76" i="2"/>
  <c r="O76" i="2" s="1"/>
  <c r="N77" i="2"/>
  <c r="O77" i="2" s="1"/>
  <c r="N78" i="2"/>
  <c r="O78" i="2" s="1"/>
  <c r="N79" i="2"/>
  <c r="O79" i="2" s="1"/>
  <c r="N80" i="2"/>
  <c r="O80" i="2" s="1"/>
  <c r="N81" i="2"/>
  <c r="O81" i="2" s="1"/>
  <c r="N82" i="2"/>
  <c r="O82" i="2" s="1"/>
  <c r="N83" i="2"/>
  <c r="O83" i="2" s="1"/>
  <c r="N84" i="2"/>
  <c r="O84" i="2" s="1"/>
  <c r="N85" i="2"/>
  <c r="O85" i="2" s="1"/>
  <c r="N86" i="2"/>
  <c r="N87" i="2"/>
  <c r="O87" i="2" s="1"/>
  <c r="N88" i="2"/>
  <c r="O88" i="2" s="1"/>
  <c r="N89" i="2"/>
  <c r="O89" i="2" s="1"/>
  <c r="N90" i="2"/>
  <c r="O90" i="2" s="1"/>
  <c r="N91" i="2"/>
  <c r="O91" i="2" s="1"/>
  <c r="N92" i="2"/>
  <c r="O92" i="2" s="1"/>
  <c r="N93" i="2"/>
  <c r="O93" i="2" s="1"/>
  <c r="N94" i="2"/>
  <c r="O94" i="2" s="1"/>
  <c r="N95" i="2"/>
  <c r="O95" i="2" s="1"/>
  <c r="N96" i="2"/>
  <c r="O96" i="2" s="1"/>
  <c r="N97" i="2"/>
  <c r="O97" i="2" s="1"/>
  <c r="N98" i="2"/>
  <c r="O98" i="2" s="1"/>
  <c r="N99" i="2"/>
  <c r="O99" i="2" s="1"/>
  <c r="N100" i="2"/>
  <c r="O100" i="2" s="1"/>
  <c r="N101" i="2"/>
  <c r="O101" i="2" s="1"/>
  <c r="N102" i="2"/>
  <c r="O102" i="2" s="1"/>
  <c r="N103" i="2"/>
  <c r="O103" i="2" s="1"/>
  <c r="N104" i="2"/>
  <c r="O104" i="2" s="1"/>
  <c r="N105" i="2"/>
  <c r="O105" i="2" s="1"/>
  <c r="N106" i="2"/>
  <c r="O106" i="2" s="1"/>
  <c r="N107" i="2"/>
  <c r="O107" i="2" s="1"/>
  <c r="N108" i="2"/>
  <c r="O108" i="2" s="1"/>
  <c r="N109" i="2"/>
  <c r="O109" i="2" s="1"/>
  <c r="N110" i="2"/>
  <c r="O110" i="2" s="1"/>
  <c r="N111" i="2"/>
  <c r="O111" i="2" s="1"/>
  <c r="N112" i="2"/>
  <c r="O112" i="2" s="1"/>
  <c r="N113" i="2"/>
  <c r="O113" i="2" s="1"/>
  <c r="N114" i="2"/>
  <c r="O114" i="2" s="1"/>
  <c r="N115" i="2"/>
  <c r="O115" i="2" s="1"/>
  <c r="N116" i="2"/>
  <c r="O116" i="2" s="1"/>
  <c r="N117" i="2"/>
  <c r="O117" i="2" s="1"/>
  <c r="N118" i="2"/>
  <c r="O118" i="2" s="1"/>
  <c r="N119" i="2"/>
  <c r="O119" i="2" s="1"/>
  <c r="N120" i="2"/>
  <c r="O120" i="2" s="1"/>
  <c r="N121" i="2"/>
  <c r="O121" i="2" s="1"/>
  <c r="N122" i="2"/>
  <c r="O122" i="2" s="1"/>
  <c r="N123" i="2"/>
  <c r="O123" i="2" s="1"/>
  <c r="N124" i="2"/>
  <c r="O124" i="2" s="1"/>
  <c r="N125" i="2"/>
  <c r="O125" i="2" s="1"/>
  <c r="N126" i="2"/>
  <c r="O126" i="2" s="1"/>
  <c r="N127" i="2"/>
  <c r="O127" i="2" s="1"/>
  <c r="N128" i="2"/>
  <c r="O128" i="2" s="1"/>
  <c r="N129" i="2"/>
  <c r="O129" i="2" s="1"/>
  <c r="N130" i="2"/>
  <c r="O130" i="2" s="1"/>
  <c r="N131" i="2"/>
  <c r="O131" i="2" s="1"/>
  <c r="N132" i="2"/>
  <c r="O132" i="2" s="1"/>
  <c r="N133" i="2"/>
  <c r="O133" i="2" s="1"/>
  <c r="N134" i="2"/>
  <c r="N135" i="2"/>
  <c r="O135" i="2" s="1"/>
  <c r="N136" i="2"/>
  <c r="O136" i="2" s="1"/>
  <c r="N137" i="2"/>
  <c r="O137" i="2" s="1"/>
  <c r="N138" i="2"/>
  <c r="O138" i="2" s="1"/>
  <c r="N139" i="2"/>
  <c r="O139" i="2" s="1"/>
  <c r="N140" i="2"/>
  <c r="O140" i="2" s="1"/>
  <c r="N141" i="2"/>
  <c r="O141" i="2" s="1"/>
  <c r="N2" i="2"/>
  <c r="O2" i="2" s="1"/>
  <c r="O21" i="2"/>
  <c r="O26" i="2"/>
  <c r="O86" i="2"/>
  <c r="O134" i="2"/>
  <c r="B26" i="4" a="1"/>
  <c r="B26" i="4" s="1"/>
  <c r="M2" i="2" a="1"/>
  <c r="M2" i="2" s="1"/>
  <c r="M3" i="2" a="1"/>
  <c r="M3" i="2" s="1"/>
  <c r="M4" i="2" a="1"/>
  <c r="M4" i="2" s="1"/>
  <c r="M5" i="2" a="1"/>
  <c r="M5" i="2" s="1"/>
  <c r="M6" i="2" a="1"/>
  <c r="M6" i="2" s="1"/>
  <c r="M7" i="2" a="1"/>
  <c r="M7" i="2" s="1"/>
  <c r="M8" i="2" a="1"/>
  <c r="M8" i="2" s="1"/>
  <c r="M9" i="2" a="1"/>
  <c r="M9" i="2" s="1"/>
  <c r="M10" i="2" a="1"/>
  <c r="M10" i="2" s="1"/>
  <c r="M11" i="2" a="1"/>
  <c r="M11" i="2" s="1"/>
  <c r="M12" i="2" a="1"/>
  <c r="M12" i="2" s="1"/>
  <c r="M13" i="2" a="1"/>
  <c r="M13" i="2" s="1"/>
  <c r="M14" i="2" a="1"/>
  <c r="M14" i="2" s="1"/>
  <c r="M15" i="2" a="1"/>
  <c r="M15" i="2" s="1"/>
  <c r="M16" i="2" a="1"/>
  <c r="M16" i="2" s="1"/>
  <c r="M17" i="2" a="1"/>
  <c r="M17" i="2" s="1"/>
  <c r="M18" i="2" a="1"/>
  <c r="M18" i="2" s="1"/>
  <c r="M19" i="2" a="1"/>
  <c r="M19" i="2" s="1"/>
  <c r="M20" i="2" a="1"/>
  <c r="M20" i="2" s="1"/>
  <c r="M21" i="2" a="1"/>
  <c r="M21" i="2" s="1"/>
  <c r="M22" i="2" a="1"/>
  <c r="M22" i="2" s="1"/>
  <c r="M23" i="2" a="1"/>
  <c r="M23" i="2" s="1"/>
  <c r="M24" i="2" a="1"/>
  <c r="M24" i="2" s="1"/>
  <c r="M25" i="2" a="1"/>
  <c r="M25" i="2" s="1"/>
  <c r="M26" i="2" a="1"/>
  <c r="M26" i="2" s="1"/>
  <c r="M27" i="2" a="1"/>
  <c r="M27" i="2" s="1"/>
  <c r="M28" i="2" a="1"/>
  <c r="M28" i="2" s="1"/>
  <c r="M29" i="2" a="1"/>
  <c r="M29" i="2" s="1"/>
  <c r="M30" i="2" a="1"/>
  <c r="M30" i="2" s="1"/>
  <c r="M31" i="2" a="1"/>
  <c r="M31" i="2" s="1"/>
  <c r="M32" i="2" a="1"/>
  <c r="M32" i="2" s="1"/>
  <c r="M33" i="2" a="1"/>
  <c r="M33" i="2" s="1"/>
  <c r="M34" i="2" a="1"/>
  <c r="M34" i="2" s="1"/>
  <c r="M35" i="2" a="1"/>
  <c r="M35" i="2" s="1"/>
  <c r="M36" i="2" a="1"/>
  <c r="M36" i="2" s="1"/>
  <c r="M37" i="2" a="1"/>
  <c r="M37" i="2" s="1"/>
  <c r="M38" i="2" a="1"/>
  <c r="M38" i="2" s="1"/>
  <c r="M39" i="2" a="1"/>
  <c r="M39" i="2" s="1"/>
  <c r="M40" i="2" a="1"/>
  <c r="M40" i="2" s="1"/>
  <c r="M41" i="2" a="1"/>
  <c r="M41" i="2" s="1"/>
  <c r="M42" i="2" a="1"/>
  <c r="M42" i="2" s="1"/>
  <c r="M43" i="2" a="1"/>
  <c r="M43" i="2" s="1"/>
  <c r="M44" i="2" a="1"/>
  <c r="M44" i="2" s="1"/>
  <c r="M45" i="2" a="1"/>
  <c r="M45" i="2" s="1"/>
  <c r="M46" i="2" a="1"/>
  <c r="M46" i="2" s="1"/>
  <c r="M47" i="2" a="1"/>
  <c r="M47" i="2" s="1"/>
  <c r="M48" i="2" a="1"/>
  <c r="M48" i="2" s="1"/>
  <c r="M49" i="2" a="1"/>
  <c r="M49" i="2" s="1"/>
  <c r="M50" i="2" a="1"/>
  <c r="M50" i="2" s="1"/>
  <c r="M51" i="2" a="1"/>
  <c r="M51" i="2" s="1"/>
  <c r="M52" i="2" a="1"/>
  <c r="M52" i="2" s="1"/>
  <c r="M53" i="2" a="1"/>
  <c r="M53" i="2" s="1"/>
  <c r="M54" i="2" a="1"/>
  <c r="M54" i="2" s="1"/>
  <c r="M55" i="2" a="1"/>
  <c r="M55" i="2" s="1"/>
  <c r="M56" i="2" a="1"/>
  <c r="M56" i="2" s="1"/>
  <c r="M57" i="2" a="1"/>
  <c r="M57" i="2" s="1"/>
  <c r="M58" i="2" a="1"/>
  <c r="M58" i="2" s="1"/>
  <c r="M59" i="2" a="1"/>
  <c r="M59" i="2" s="1"/>
  <c r="M60" i="2" a="1"/>
  <c r="M60" i="2" s="1"/>
  <c r="M61" i="2" a="1"/>
  <c r="M61" i="2" s="1"/>
  <c r="M62" i="2" a="1"/>
  <c r="M62" i="2" s="1"/>
  <c r="M63" i="2" a="1"/>
  <c r="M63" i="2" s="1"/>
  <c r="M64" i="2" a="1"/>
  <c r="M64" i="2" s="1"/>
  <c r="M65" i="2" a="1"/>
  <c r="M65" i="2" s="1"/>
  <c r="M66" i="2" a="1"/>
  <c r="M66" i="2" s="1"/>
  <c r="M67" i="2" a="1"/>
  <c r="M67" i="2" s="1"/>
  <c r="M68" i="2" a="1"/>
  <c r="M68" i="2" s="1"/>
  <c r="M69" i="2" a="1"/>
  <c r="M69" i="2" s="1"/>
  <c r="M70" i="2" a="1"/>
  <c r="M70" i="2" s="1"/>
  <c r="M71" i="2" a="1"/>
  <c r="M71" i="2" s="1"/>
  <c r="M72" i="2" a="1"/>
  <c r="M72" i="2" s="1"/>
  <c r="M73" i="2" a="1"/>
  <c r="M73" i="2" s="1"/>
  <c r="M74" i="2" a="1"/>
  <c r="M74" i="2" s="1"/>
  <c r="M75" i="2" a="1"/>
  <c r="M75" i="2" s="1"/>
  <c r="M76" i="2" a="1"/>
  <c r="M76" i="2" s="1"/>
  <c r="M77" i="2" a="1"/>
  <c r="M77" i="2" s="1"/>
  <c r="M78" i="2" a="1"/>
  <c r="M78" i="2" s="1"/>
  <c r="M79" i="2" a="1"/>
  <c r="M79" i="2" s="1"/>
  <c r="M80" i="2" a="1"/>
  <c r="M80" i="2" s="1"/>
  <c r="M81" i="2" a="1"/>
  <c r="M81" i="2" s="1"/>
  <c r="M82" i="2" a="1"/>
  <c r="M82" i="2" s="1"/>
  <c r="M83" i="2" a="1"/>
  <c r="M83" i="2" s="1"/>
  <c r="M84" i="2" a="1"/>
  <c r="M84" i="2" s="1"/>
  <c r="M85" i="2" a="1"/>
  <c r="M85" i="2" s="1"/>
  <c r="M86" i="2" a="1"/>
  <c r="M86" i="2" s="1"/>
  <c r="M87" i="2" a="1"/>
  <c r="M87" i="2" s="1"/>
  <c r="M88" i="2" a="1"/>
  <c r="M88" i="2" s="1"/>
  <c r="M89" i="2" a="1"/>
  <c r="M89" i="2" s="1"/>
  <c r="M90" i="2" a="1"/>
  <c r="M90" i="2" s="1"/>
  <c r="M91" i="2" a="1"/>
  <c r="M91" i="2" s="1"/>
  <c r="M92" i="2" a="1"/>
  <c r="M92" i="2" s="1"/>
  <c r="M93" i="2" a="1"/>
  <c r="M93" i="2" s="1"/>
  <c r="M94" i="2" a="1"/>
  <c r="M94" i="2" s="1"/>
  <c r="M95" i="2" a="1"/>
  <c r="M95" i="2" s="1"/>
  <c r="M96" i="2" a="1"/>
  <c r="M96" i="2" s="1"/>
  <c r="M97" i="2" a="1"/>
  <c r="M97" i="2" s="1"/>
  <c r="M98" i="2" a="1"/>
  <c r="M98" i="2" s="1"/>
  <c r="M99" i="2" a="1"/>
  <c r="M99" i="2" s="1"/>
  <c r="M100" i="2" a="1"/>
  <c r="M100" i="2" s="1"/>
  <c r="M101" i="2" a="1"/>
  <c r="M101" i="2" s="1"/>
  <c r="M102" i="2" a="1"/>
  <c r="M102" i="2" s="1"/>
  <c r="M103" i="2" a="1"/>
  <c r="M103" i="2" s="1"/>
  <c r="M104" i="2" a="1"/>
  <c r="M104" i="2" s="1"/>
  <c r="M105" i="2" a="1"/>
  <c r="M105" i="2" s="1"/>
  <c r="M106" i="2" a="1"/>
  <c r="M106" i="2" s="1"/>
  <c r="M107" i="2" a="1"/>
  <c r="M107" i="2" s="1"/>
  <c r="M108" i="2" a="1"/>
  <c r="M108" i="2" s="1"/>
  <c r="M109" i="2" a="1"/>
  <c r="M109" i="2" s="1"/>
  <c r="M110" i="2" a="1"/>
  <c r="M110" i="2" s="1"/>
  <c r="M111" i="2" a="1"/>
  <c r="M111" i="2" s="1"/>
  <c r="M112" i="2" a="1"/>
  <c r="M112" i="2" s="1"/>
  <c r="M113" i="2" a="1"/>
  <c r="M113" i="2" s="1"/>
  <c r="M114" i="2" a="1"/>
  <c r="M114" i="2" s="1"/>
  <c r="M115" i="2" a="1"/>
  <c r="M115" i="2" s="1"/>
  <c r="M116" i="2" a="1"/>
  <c r="M116" i="2" s="1"/>
  <c r="M117" i="2" a="1"/>
  <c r="M117" i="2" s="1"/>
  <c r="M118" i="2" a="1"/>
  <c r="M118" i="2" s="1"/>
  <c r="M119" i="2" a="1"/>
  <c r="M119" i="2" s="1"/>
  <c r="M120" i="2" a="1"/>
  <c r="M120" i="2" s="1"/>
  <c r="M121" i="2" a="1"/>
  <c r="M121" i="2" s="1"/>
  <c r="M122" i="2" a="1"/>
  <c r="M122" i="2" s="1"/>
  <c r="M123" i="2" a="1"/>
  <c r="M123" i="2" s="1"/>
  <c r="M124" i="2" a="1"/>
  <c r="M124" i="2" s="1"/>
  <c r="M125" i="2" a="1"/>
  <c r="M125" i="2" s="1"/>
  <c r="M126" i="2" a="1"/>
  <c r="M126" i="2" s="1"/>
  <c r="M127" i="2" a="1"/>
  <c r="M127" i="2" s="1"/>
  <c r="M128" i="2" a="1"/>
  <c r="M128" i="2" s="1"/>
  <c r="M129" i="2" a="1"/>
  <c r="M129" i="2" s="1"/>
  <c r="M130" i="2" a="1"/>
  <c r="M130" i="2" s="1"/>
  <c r="M131" i="2" a="1"/>
  <c r="M131" i="2" s="1"/>
  <c r="M132" i="2" a="1"/>
  <c r="M132" i="2" s="1"/>
  <c r="M133" i="2" a="1"/>
  <c r="M133" i="2" s="1"/>
  <c r="M134" i="2" a="1"/>
  <c r="M134" i="2" s="1"/>
  <c r="M135" i="2" a="1"/>
  <c r="M135" i="2" s="1"/>
  <c r="M136" i="2" a="1"/>
  <c r="M136" i="2" s="1"/>
  <c r="M137" i="2" a="1"/>
  <c r="M137" i="2" s="1"/>
  <c r="M138" i="2" a="1"/>
  <c r="M138" i="2" s="1"/>
  <c r="M139" i="2" a="1"/>
  <c r="M139" i="2" s="1"/>
  <c r="M140" i="2" a="1"/>
  <c r="M140" i="2" s="1"/>
  <c r="M141" i="2" a="1"/>
  <c r="M141" i="2" s="1"/>
  <c r="B21" i="4" a="1"/>
  <c r="B21" i="4" s="1"/>
  <c r="L2" i="2" a="1"/>
  <c r="L2" i="2" s="1"/>
  <c r="L3" i="2" a="1"/>
  <c r="L3" i="2" s="1"/>
  <c r="L4" i="2" a="1"/>
  <c r="L4" i="2" s="1"/>
  <c r="L5" i="2" a="1"/>
  <c r="L5" i="2" s="1"/>
  <c r="L6" i="2" a="1"/>
  <c r="L6" i="2" s="1"/>
  <c r="L7" i="2" a="1"/>
  <c r="L7" i="2" s="1"/>
  <c r="L8" i="2" a="1"/>
  <c r="L8" i="2" s="1"/>
  <c r="L9" i="2" a="1"/>
  <c r="L9" i="2" s="1"/>
  <c r="L10" i="2" a="1"/>
  <c r="L10" i="2" s="1"/>
  <c r="L11" i="2" a="1"/>
  <c r="L11" i="2" s="1"/>
  <c r="L12" i="2" a="1"/>
  <c r="L12" i="2" s="1"/>
  <c r="L13" i="2" a="1"/>
  <c r="L13" i="2" s="1"/>
  <c r="L14" i="2" a="1"/>
  <c r="L14" i="2" s="1"/>
  <c r="L15" i="2" a="1"/>
  <c r="L15" i="2" s="1"/>
  <c r="L16" i="2" a="1"/>
  <c r="L16" i="2" s="1"/>
  <c r="L17" i="2" a="1"/>
  <c r="L17" i="2" s="1"/>
  <c r="L18" i="2" a="1"/>
  <c r="L18" i="2" s="1"/>
  <c r="L19" i="2" a="1"/>
  <c r="L19" i="2" s="1"/>
  <c r="L20" i="2" a="1"/>
  <c r="L20" i="2" s="1"/>
  <c r="L21" i="2" a="1"/>
  <c r="L21" i="2" s="1"/>
  <c r="L22" i="2" a="1"/>
  <c r="L22" i="2" s="1"/>
  <c r="L23" i="2" a="1"/>
  <c r="L23" i="2" s="1"/>
  <c r="L24" i="2" a="1"/>
  <c r="L24" i="2" s="1"/>
  <c r="L25" i="2" a="1"/>
  <c r="L25" i="2" s="1"/>
  <c r="L26" i="2" a="1"/>
  <c r="L26" i="2" s="1"/>
  <c r="L27" i="2" a="1"/>
  <c r="L27" i="2" s="1"/>
  <c r="L28" i="2" a="1"/>
  <c r="L28" i="2" s="1"/>
  <c r="L29" i="2" a="1"/>
  <c r="L29" i="2" s="1"/>
  <c r="L30" i="2" a="1"/>
  <c r="L30" i="2" s="1"/>
  <c r="L31" i="2" a="1"/>
  <c r="L31" i="2" s="1"/>
  <c r="L32" i="2" a="1"/>
  <c r="L32" i="2" s="1"/>
  <c r="L33" i="2" a="1"/>
  <c r="L33" i="2" s="1"/>
  <c r="L34" i="2" a="1"/>
  <c r="L34" i="2" s="1"/>
  <c r="L35" i="2" a="1"/>
  <c r="L35" i="2" s="1"/>
  <c r="L36" i="2" a="1"/>
  <c r="L36" i="2" s="1"/>
  <c r="L37" i="2" a="1"/>
  <c r="L37" i="2" s="1"/>
  <c r="L38" i="2" a="1"/>
  <c r="L38" i="2" s="1"/>
  <c r="L39" i="2" a="1"/>
  <c r="L39" i="2" s="1"/>
  <c r="L40" i="2" a="1"/>
  <c r="L40" i="2" s="1"/>
  <c r="L41" i="2" a="1"/>
  <c r="L41" i="2" s="1"/>
  <c r="L42" i="2" a="1"/>
  <c r="L42" i="2" s="1"/>
  <c r="L43" i="2" a="1"/>
  <c r="L43" i="2" s="1"/>
  <c r="L44" i="2" a="1"/>
  <c r="L44" i="2" s="1"/>
  <c r="L45" i="2" a="1"/>
  <c r="L45" i="2" s="1"/>
  <c r="L46" i="2" a="1"/>
  <c r="L46" i="2" s="1"/>
  <c r="L47" i="2" a="1"/>
  <c r="L47" i="2" s="1"/>
  <c r="L48" i="2" a="1"/>
  <c r="L48" i="2" s="1"/>
  <c r="L49" i="2" a="1"/>
  <c r="L49" i="2" s="1"/>
  <c r="L50" i="2" a="1"/>
  <c r="L50" i="2" s="1"/>
  <c r="L51" i="2" a="1"/>
  <c r="L51" i="2" s="1"/>
  <c r="L52" i="2" a="1"/>
  <c r="L52" i="2" s="1"/>
  <c r="L53" i="2" a="1"/>
  <c r="L53" i="2" s="1"/>
  <c r="L54" i="2" a="1"/>
  <c r="L54" i="2" s="1"/>
  <c r="L55" i="2" a="1"/>
  <c r="L55" i="2" s="1"/>
  <c r="L56" i="2" a="1"/>
  <c r="L56" i="2" s="1"/>
  <c r="L57" i="2" a="1"/>
  <c r="L57" i="2" s="1"/>
  <c r="L58" i="2" a="1"/>
  <c r="L58" i="2" s="1"/>
  <c r="L59" i="2" a="1"/>
  <c r="L59" i="2" s="1"/>
  <c r="L60" i="2" a="1"/>
  <c r="L60" i="2" s="1"/>
  <c r="L61" i="2" a="1"/>
  <c r="L61" i="2" s="1"/>
  <c r="L62" i="2" a="1"/>
  <c r="L62" i="2" s="1"/>
  <c r="L63" i="2" a="1"/>
  <c r="L63" i="2" s="1"/>
  <c r="L64" i="2" a="1"/>
  <c r="L64" i="2" s="1"/>
  <c r="L65" i="2" a="1"/>
  <c r="L65" i="2" s="1"/>
  <c r="L66" i="2" a="1"/>
  <c r="L66" i="2" s="1"/>
  <c r="L67" i="2" a="1"/>
  <c r="L67" i="2" s="1"/>
  <c r="L68" i="2" a="1"/>
  <c r="L68" i="2" s="1"/>
  <c r="L69" i="2" a="1"/>
  <c r="L69" i="2" s="1"/>
  <c r="L70" i="2" a="1"/>
  <c r="L70" i="2" s="1"/>
  <c r="L71" i="2" a="1"/>
  <c r="L71" i="2" s="1"/>
  <c r="L72" i="2" a="1"/>
  <c r="L72" i="2" s="1"/>
  <c r="L73" i="2" a="1"/>
  <c r="L73" i="2" s="1"/>
  <c r="L74" i="2" a="1"/>
  <c r="L74" i="2" s="1"/>
  <c r="L75" i="2" a="1"/>
  <c r="L75" i="2" s="1"/>
  <c r="L76" i="2" a="1"/>
  <c r="L76" i="2" s="1"/>
  <c r="L77" i="2" a="1"/>
  <c r="L77" i="2" s="1"/>
  <c r="L78" i="2" a="1"/>
  <c r="L78" i="2" s="1"/>
  <c r="L79" i="2" a="1"/>
  <c r="L79" i="2" s="1"/>
  <c r="L80" i="2" a="1"/>
  <c r="L80" i="2" s="1"/>
  <c r="L81" i="2" a="1"/>
  <c r="L81" i="2" s="1"/>
  <c r="L82" i="2" a="1"/>
  <c r="L82" i="2" s="1"/>
  <c r="L83" i="2" a="1"/>
  <c r="L83" i="2" s="1"/>
  <c r="L84" i="2" a="1"/>
  <c r="L84" i="2" s="1"/>
  <c r="L85" i="2" a="1"/>
  <c r="L85" i="2" s="1"/>
  <c r="L86" i="2" a="1"/>
  <c r="L86" i="2" s="1"/>
  <c r="L87" i="2" a="1"/>
  <c r="L87" i="2" s="1"/>
  <c r="L88" i="2" a="1"/>
  <c r="L88" i="2" s="1"/>
  <c r="L89" i="2" a="1"/>
  <c r="L89" i="2" s="1"/>
  <c r="L90" i="2" a="1"/>
  <c r="L90" i="2" s="1"/>
  <c r="L91" i="2" a="1"/>
  <c r="L91" i="2" s="1"/>
  <c r="L92" i="2" a="1"/>
  <c r="L92" i="2" s="1"/>
  <c r="L93" i="2" a="1"/>
  <c r="L93" i="2" s="1"/>
  <c r="L94" i="2" a="1"/>
  <c r="L94" i="2" s="1"/>
  <c r="L95" i="2" a="1"/>
  <c r="L95" i="2" s="1"/>
  <c r="L96" i="2" a="1"/>
  <c r="L96" i="2" s="1"/>
  <c r="L97" i="2" a="1"/>
  <c r="L97" i="2" s="1"/>
  <c r="L98" i="2" a="1"/>
  <c r="L98" i="2" s="1"/>
  <c r="L99" i="2" a="1"/>
  <c r="L99" i="2" s="1"/>
  <c r="L100" i="2" a="1"/>
  <c r="L100" i="2" s="1"/>
  <c r="L101" i="2" a="1"/>
  <c r="L101" i="2" s="1"/>
  <c r="L102" i="2" a="1"/>
  <c r="L102" i="2" s="1"/>
  <c r="L103" i="2" a="1"/>
  <c r="L103" i="2" s="1"/>
  <c r="L104" i="2" a="1"/>
  <c r="L104" i="2" s="1"/>
  <c r="L105" i="2" a="1"/>
  <c r="L105" i="2" s="1"/>
  <c r="L106" i="2" a="1"/>
  <c r="L106" i="2" s="1"/>
  <c r="L107" i="2" a="1"/>
  <c r="L107" i="2" s="1"/>
  <c r="L108" i="2" a="1"/>
  <c r="L108" i="2" s="1"/>
  <c r="L109" i="2" a="1"/>
  <c r="L109" i="2" s="1"/>
  <c r="L110" i="2" a="1"/>
  <c r="L110" i="2" s="1"/>
  <c r="L111" i="2" a="1"/>
  <c r="L111" i="2" s="1"/>
  <c r="L112" i="2" a="1"/>
  <c r="L112" i="2" s="1"/>
  <c r="L113" i="2" a="1"/>
  <c r="L113" i="2" s="1"/>
  <c r="L114" i="2" a="1"/>
  <c r="L114" i="2" s="1"/>
  <c r="L115" i="2" a="1"/>
  <c r="L115" i="2" s="1"/>
  <c r="L116" i="2" a="1"/>
  <c r="L116" i="2" s="1"/>
  <c r="L117" i="2" a="1"/>
  <c r="L117" i="2" s="1"/>
  <c r="L118" i="2" a="1"/>
  <c r="L118" i="2" s="1"/>
  <c r="L119" i="2" a="1"/>
  <c r="L119" i="2" s="1"/>
  <c r="L120" i="2" a="1"/>
  <c r="L120" i="2" s="1"/>
  <c r="L121" i="2" a="1"/>
  <c r="L121" i="2" s="1"/>
  <c r="L122" i="2" a="1"/>
  <c r="L122" i="2" s="1"/>
  <c r="L123" i="2" a="1"/>
  <c r="L123" i="2" s="1"/>
  <c r="L124" i="2" a="1"/>
  <c r="L124" i="2" s="1"/>
  <c r="L125" i="2" a="1"/>
  <c r="L125" i="2" s="1"/>
  <c r="L126" i="2" a="1"/>
  <c r="L126" i="2" s="1"/>
  <c r="L127" i="2" a="1"/>
  <c r="L127" i="2" s="1"/>
  <c r="L128" i="2" a="1"/>
  <c r="L128" i="2" s="1"/>
  <c r="L129" i="2" a="1"/>
  <c r="L129" i="2" s="1"/>
  <c r="L130" i="2" a="1"/>
  <c r="L130" i="2" s="1"/>
  <c r="L131" i="2" a="1"/>
  <c r="L131" i="2" s="1"/>
  <c r="L132" i="2" a="1"/>
  <c r="L132" i="2" s="1"/>
  <c r="L133" i="2" a="1"/>
  <c r="L133" i="2" s="1"/>
  <c r="L134" i="2" a="1"/>
  <c r="L134" i="2" s="1"/>
  <c r="L135" i="2" a="1"/>
  <c r="L135" i="2" s="1"/>
  <c r="L136" i="2" a="1"/>
  <c r="L136" i="2" s="1"/>
  <c r="L137" i="2" a="1"/>
  <c r="L137" i="2" s="1"/>
  <c r="L138" i="2" a="1"/>
  <c r="L138" i="2" s="1"/>
  <c r="L139" i="2" a="1"/>
  <c r="L139" i="2" s="1"/>
  <c r="L140" i="2" a="1"/>
  <c r="L140" i="2" s="1"/>
  <c r="L141" i="2" a="1"/>
  <c r="L141" i="2" s="1"/>
  <c r="B16" i="4"/>
  <c r="B6" i="4"/>
  <c r="B21"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<sst xmlns="http://schemas.openxmlformats.org/spreadsheetml/2006/main" count="1245" uniqueCount="452">
  <si>
    <t>DUŻY EGZAMIN KOŃCOWY — EXCEL (bez podpowiedzi)</t>
  </si>
  <si>
    <t>To jest wersja BEZ PODPOWIEDZI. Polecenia opisują efekt biznesowy, jaki masz osiągnąć — nie mówią, jakiej funkcji czy narzędzia użyć. To Ty decydujesz, jakim sposobem dojść do wyniku. Dane są nowe (inna firma, inny zestaw), więc nie polegaj na pamięci z poprzedniego pliku — przeczytaj dane uważnie.</t>
  </si>
  <si>
    <t>STRUKTURA SKOROSZYTU</t>
  </si>
  <si>
    <t>•  Dane — Surowe dane transakcyjne sieci kawiarni. Nie zmieniaj tego arkusza poza kolumnami, o które proszą zadania.</t>
  </si>
  <si>
    <t>•  Produkty — Katalog produktów do zadań na wyszukiwanie danych.</t>
  </si>
  <si>
    <t>•  Z1_Funkcje_podstawowe — Sekcja 1</t>
  </si>
  <si>
    <t>•  Z2_Wyszukiwanie — Sekcja 2</t>
  </si>
  <si>
    <t>•  Z3_Tekst — Sekcja 3</t>
  </si>
  <si>
    <t>•  Z4_Agregacja_warunkowa — Sekcja 4</t>
  </si>
  <si>
    <t>•  Z5_Tabele — Sekcja 5</t>
  </si>
  <si>
    <t>•  Z6_Zestawienia — Sekcja 6</t>
  </si>
  <si>
    <t>•  Z7_Wizualizacje — Sekcja 7</t>
  </si>
  <si>
    <t>•  Z8_Filtrowanie — Sekcja 8</t>
  </si>
  <si>
    <t>ZASADY</t>
  </si>
  <si>
    <t>→  Żółte komórki w Z1–Z4 to miejsce na Twoją formułę / odpowiedź.</t>
  </si>
  <si>
    <t>→  Z5–Z8: buduj rozwiązanie bezpośrednio w skoroszycie (nowe arkusze nazywaj sensownie).</t>
  </si>
  <si>
    <t>→  Nie sprawdzaj gotowców — to ma sprawdzić Twoją realną, samodzielną wiedzę.</t>
  </si>
  <si>
    <t>→  Rób wszystko, co potrafisz. Jeśli utkniesz na którymś zadaniu — zostaw je puste i idź dalej. Braki, które się ujawnią, doszkolisz następnego dnia.</t>
  </si>
  <si>
    <t>→  Gdy skończysz (albo dojdziesz do ściany), zapisz plik i odeślij mi go z powrotem.</t>
  </si>
  <si>
    <t>ID_Transakcji</t>
  </si>
  <si>
    <t>Data</t>
  </si>
  <si>
    <t>Lokalizacja</t>
  </si>
  <si>
    <t>Barista_surowe</t>
  </si>
  <si>
    <t>Email_surowy</t>
  </si>
  <si>
    <t>ID_Produktu</t>
  </si>
  <si>
    <t>Ilosc</t>
  </si>
  <si>
    <t>Cena_jednostkowa</t>
  </si>
  <si>
    <t>Przychod</t>
  </si>
  <si>
    <t>ID_Karty</t>
  </si>
  <si>
    <t>Status_surowy</t>
  </si>
  <si>
    <t>C0001</t>
  </si>
  <si>
    <t>Poznań</t>
  </si>
  <si>
    <t xml:space="preserve">natalia krawczyk  </t>
  </si>
  <si>
    <t xml:space="preserve">natalia.krawczyk@kawiarnia.pl </t>
  </si>
  <si>
    <t>K004</t>
  </si>
  <si>
    <t>L132</t>
  </si>
  <si>
    <t xml:space="preserve">W realizacji </t>
  </si>
  <si>
    <t>C0002</t>
  </si>
  <si>
    <t>Gdańsk</t>
  </si>
  <si>
    <t>ALEKSANDRA KOWAL</t>
  </si>
  <si>
    <t xml:space="preserve">aleksandra.kowal@kawiarnia.pl </t>
  </si>
  <si>
    <t>K007</t>
  </si>
  <si>
    <t>L127</t>
  </si>
  <si>
    <t>Zakonczone</t>
  </si>
  <si>
    <t>C0003</t>
  </si>
  <si>
    <t>Kraków</t>
  </si>
  <si>
    <t xml:space="preserve">  Bartosz Zajac</t>
  </si>
  <si>
    <t>bartosz.zajac@KAWIARNIA.PL</t>
  </si>
  <si>
    <t>K014</t>
  </si>
  <si>
    <t>L191</t>
  </si>
  <si>
    <t>zakonczone</t>
  </si>
  <si>
    <t>C0004</t>
  </si>
  <si>
    <t>Warszawa</t>
  </si>
  <si>
    <t xml:space="preserve">Weronika Duda </t>
  </si>
  <si>
    <t>weronika.duda@KAWIARNIA.PL</t>
  </si>
  <si>
    <t>K005</t>
  </si>
  <si>
    <t>L126</t>
  </si>
  <si>
    <t>C0005</t>
  </si>
  <si>
    <t xml:space="preserve">weronika.duda@kawiarnia.pl </t>
  </si>
  <si>
    <t>K010</t>
  </si>
  <si>
    <t>L145</t>
  </si>
  <si>
    <t>W REALIZACJI</t>
  </si>
  <si>
    <t>C0006</t>
  </si>
  <si>
    <t>K003</t>
  </si>
  <si>
    <t>L104</t>
  </si>
  <si>
    <t>nowe</t>
  </si>
  <si>
    <t>C0007</t>
  </si>
  <si>
    <t>K002</t>
  </si>
  <si>
    <t>L118</t>
  </si>
  <si>
    <t>C0008</t>
  </si>
  <si>
    <t>Kamil WOZNIAK</t>
  </si>
  <si>
    <t>kamil.wozniak@KAWIARNIA.PL</t>
  </si>
  <si>
    <t>L107</t>
  </si>
  <si>
    <t>C0009</t>
  </si>
  <si>
    <t>PAWEL  Mazur</t>
  </si>
  <si>
    <t xml:space="preserve">pawel.mazur@kawiarnia.pl </t>
  </si>
  <si>
    <t>K013</t>
  </si>
  <si>
    <t>L188</t>
  </si>
  <si>
    <t xml:space="preserve">  nowe  </t>
  </si>
  <si>
    <t>C0010</t>
  </si>
  <si>
    <t xml:space="preserve">bartosz.zajac@kawiarnia.pl </t>
  </si>
  <si>
    <t>L137</t>
  </si>
  <si>
    <t>C0011</t>
  </si>
  <si>
    <t>bartosz.zajac@kawiarnia.pl</t>
  </si>
  <si>
    <t>K006</t>
  </si>
  <si>
    <t>C0012</t>
  </si>
  <si>
    <t>L148</t>
  </si>
  <si>
    <t>C0013</t>
  </si>
  <si>
    <t>K009</t>
  </si>
  <si>
    <t>C0014</t>
  </si>
  <si>
    <t>natalia.krawczyk@KAWIARNIA.PL</t>
  </si>
  <si>
    <t>L113</t>
  </si>
  <si>
    <t>C0015</t>
  </si>
  <si>
    <t>L153</t>
  </si>
  <si>
    <t>C0016</t>
  </si>
  <si>
    <t>C0017</t>
  </si>
  <si>
    <t>K011</t>
  </si>
  <si>
    <t>L179</t>
  </si>
  <si>
    <t>C0018</t>
  </si>
  <si>
    <t>C0019</t>
  </si>
  <si>
    <t>L144</t>
  </si>
  <si>
    <t>C0020</t>
  </si>
  <si>
    <t>K001</t>
  </si>
  <si>
    <t>L186</t>
  </si>
  <si>
    <t>C0021</t>
  </si>
  <si>
    <t>weronika.duda@kawiarnia.pl</t>
  </si>
  <si>
    <t>L171</t>
  </si>
  <si>
    <t>C0022</t>
  </si>
  <si>
    <t>pawel.mazur@kawiarnia.pl</t>
  </si>
  <si>
    <t>C0023</t>
  </si>
  <si>
    <t>Wrocław</t>
  </si>
  <si>
    <t xml:space="preserve">  julia jankowska</t>
  </si>
  <si>
    <t xml:space="preserve">julia.jankowska@kawiarnia.pl </t>
  </si>
  <si>
    <t>K012</t>
  </si>
  <si>
    <t>L124</t>
  </si>
  <si>
    <t>C0024</t>
  </si>
  <si>
    <t>C0025</t>
  </si>
  <si>
    <t>L189</t>
  </si>
  <si>
    <t>C0026</t>
  </si>
  <si>
    <t>L158</t>
  </si>
  <si>
    <t>C0027</t>
  </si>
  <si>
    <t>julia.jankowska@KAWIARNIA.PL</t>
  </si>
  <si>
    <t>L187</t>
  </si>
  <si>
    <t>C0028</t>
  </si>
  <si>
    <t>L150</t>
  </si>
  <si>
    <t>C0029</t>
  </si>
  <si>
    <t>L199</t>
  </si>
  <si>
    <t>C0030</t>
  </si>
  <si>
    <t>aleksandra.kowal@KAWIARNIA.PL</t>
  </si>
  <si>
    <t>C0031</t>
  </si>
  <si>
    <t>L114</t>
  </si>
  <si>
    <t>C0032</t>
  </si>
  <si>
    <t>L121</t>
  </si>
  <si>
    <t>C0033</t>
  </si>
  <si>
    <t>L139</t>
  </si>
  <si>
    <t>C0034</t>
  </si>
  <si>
    <t>C0035</t>
  </si>
  <si>
    <t>L120</t>
  </si>
  <si>
    <t>C0036</t>
  </si>
  <si>
    <t>pawel.mazur@KAWIARNIA.PL</t>
  </si>
  <si>
    <t>C0037</t>
  </si>
  <si>
    <t>C0038</t>
  </si>
  <si>
    <t>L134</t>
  </si>
  <si>
    <t>C0039</t>
  </si>
  <si>
    <t>C0040</t>
  </si>
  <si>
    <t>kamil.wozniak@kawiarnia.pl</t>
  </si>
  <si>
    <t>L172</t>
  </si>
  <si>
    <t>C0041</t>
  </si>
  <si>
    <t>michal nowicki</t>
  </si>
  <si>
    <t>michal.nowicki@kawiarnia.pl</t>
  </si>
  <si>
    <t>C0042</t>
  </si>
  <si>
    <t>L157</t>
  </si>
  <si>
    <t>C0043</t>
  </si>
  <si>
    <t>K008</t>
  </si>
  <si>
    <t>L164</t>
  </si>
  <si>
    <t>C0044</t>
  </si>
  <si>
    <t>L122</t>
  </si>
  <si>
    <t>C0045</t>
  </si>
  <si>
    <t>C0046</t>
  </si>
  <si>
    <t>C0047</t>
  </si>
  <si>
    <t>L103</t>
  </si>
  <si>
    <t>C0048</t>
  </si>
  <si>
    <t>julia.jankowska@kawiarnia.pl</t>
  </si>
  <si>
    <t>L185</t>
  </si>
  <si>
    <t>C0049</t>
  </si>
  <si>
    <t>C0050</t>
  </si>
  <si>
    <t>L177</t>
  </si>
  <si>
    <t>C0051</t>
  </si>
  <si>
    <t>L109</t>
  </si>
  <si>
    <t>C0052</t>
  </si>
  <si>
    <t>natalia.krawczyk@kawiarnia.pl</t>
  </si>
  <si>
    <t>L155</t>
  </si>
  <si>
    <t>C0053</t>
  </si>
  <si>
    <t>C0054</t>
  </si>
  <si>
    <t>L108</t>
  </si>
  <si>
    <t>C0055</t>
  </si>
  <si>
    <t>C0056</t>
  </si>
  <si>
    <t xml:space="preserve">michal.nowicki@kawiarnia.pl </t>
  </si>
  <si>
    <t>L102</t>
  </si>
  <si>
    <t>C0057</t>
  </si>
  <si>
    <t>C0058</t>
  </si>
  <si>
    <t>L176</t>
  </si>
  <si>
    <t>C0059</t>
  </si>
  <si>
    <t>L184</t>
  </si>
  <si>
    <t>C0060</t>
  </si>
  <si>
    <t>L181</t>
  </si>
  <si>
    <t>C0061</t>
  </si>
  <si>
    <t>C0062</t>
  </si>
  <si>
    <t>C0063</t>
  </si>
  <si>
    <t>C0064</t>
  </si>
  <si>
    <t>C0065</t>
  </si>
  <si>
    <t>C0066</t>
  </si>
  <si>
    <t>aleksandra.kowal@kawiarnia.pl</t>
  </si>
  <si>
    <t>L143</t>
  </si>
  <si>
    <t>C0067</t>
  </si>
  <si>
    <t>L100</t>
  </si>
  <si>
    <t>C0068</t>
  </si>
  <si>
    <t>C0069</t>
  </si>
  <si>
    <t>L142</t>
  </si>
  <si>
    <t>C0070</t>
  </si>
  <si>
    <t>L105</t>
  </si>
  <si>
    <t>C0071</t>
  </si>
  <si>
    <t>C0072</t>
  </si>
  <si>
    <t>C0073</t>
  </si>
  <si>
    <t>C0074</t>
  </si>
  <si>
    <t>L170</t>
  </si>
  <si>
    <t>C0075</t>
  </si>
  <si>
    <t>L160</t>
  </si>
  <si>
    <t>C0076</t>
  </si>
  <si>
    <t>C0077</t>
  </si>
  <si>
    <t>L175</t>
  </si>
  <si>
    <t>C0078</t>
  </si>
  <si>
    <t>L116</t>
  </si>
  <si>
    <t>C0079</t>
  </si>
  <si>
    <t>L138</t>
  </si>
  <si>
    <t>C0080</t>
  </si>
  <si>
    <t>L163</t>
  </si>
  <si>
    <t>C0081</t>
  </si>
  <si>
    <t>C0082</t>
  </si>
  <si>
    <t>K999</t>
  </si>
  <si>
    <t>L101</t>
  </si>
  <si>
    <t>C0083</t>
  </si>
  <si>
    <t>C0084</t>
  </si>
  <si>
    <t>C0085</t>
  </si>
  <si>
    <t>L147</t>
  </si>
  <si>
    <t>C0086</t>
  </si>
  <si>
    <t>L173</t>
  </si>
  <si>
    <t>C0087</t>
  </si>
  <si>
    <t xml:space="preserve">kamil.wozniak@kawiarnia.pl </t>
  </si>
  <si>
    <t>L110</t>
  </si>
  <si>
    <t>C0088</t>
  </si>
  <si>
    <t>C0089</t>
  </si>
  <si>
    <t>L128</t>
  </si>
  <si>
    <t>C0090</t>
  </si>
  <si>
    <t>C0091</t>
  </si>
  <si>
    <t>L180</t>
  </si>
  <si>
    <t>C0092</t>
  </si>
  <si>
    <t>C0093</t>
  </si>
  <si>
    <t>C0094</t>
  </si>
  <si>
    <t>L149</t>
  </si>
  <si>
    <t>C0095</t>
  </si>
  <si>
    <t>C0096</t>
  </si>
  <si>
    <t>C0097</t>
  </si>
  <si>
    <t>L161</t>
  </si>
  <si>
    <t>C0098</t>
  </si>
  <si>
    <t>C0099</t>
  </si>
  <si>
    <t>C0100</t>
  </si>
  <si>
    <t>L140</t>
  </si>
  <si>
    <t>C0101</t>
  </si>
  <si>
    <t>C0102</t>
  </si>
  <si>
    <t>C0103</t>
  </si>
  <si>
    <t>L123</t>
  </si>
  <si>
    <t>C0104</t>
  </si>
  <si>
    <t>L182</t>
  </si>
  <si>
    <t>C0105</t>
  </si>
  <si>
    <t>C0106</t>
  </si>
  <si>
    <t>C0107</t>
  </si>
  <si>
    <t>C0108</t>
  </si>
  <si>
    <t>C0109</t>
  </si>
  <si>
    <t>L168</t>
  </si>
  <si>
    <t>C0110</t>
  </si>
  <si>
    <t>L141</t>
  </si>
  <si>
    <t>C0111</t>
  </si>
  <si>
    <t>L183</t>
  </si>
  <si>
    <t>C0112</t>
  </si>
  <si>
    <t>L190</t>
  </si>
  <si>
    <t>C0113</t>
  </si>
  <si>
    <t>C0114</t>
  </si>
  <si>
    <t>C0115</t>
  </si>
  <si>
    <t>C0116</t>
  </si>
  <si>
    <t>C0117</t>
  </si>
  <si>
    <t>L159</t>
  </si>
  <si>
    <t>C0118</t>
  </si>
  <si>
    <t>C0119</t>
  </si>
  <si>
    <t>C0120</t>
  </si>
  <si>
    <t>C0121</t>
  </si>
  <si>
    <t>C0122</t>
  </si>
  <si>
    <t>L178</t>
  </si>
  <si>
    <t>C0123</t>
  </si>
  <si>
    <t>L115</t>
  </si>
  <si>
    <t>C0124</t>
  </si>
  <si>
    <t>L133</t>
  </si>
  <si>
    <t>C0125</t>
  </si>
  <si>
    <t>C0126</t>
  </si>
  <si>
    <t>L196</t>
  </si>
  <si>
    <t>C0127</t>
  </si>
  <si>
    <t>L130</t>
  </si>
  <si>
    <t>C0128</t>
  </si>
  <si>
    <t>C0129</t>
  </si>
  <si>
    <t>C0130</t>
  </si>
  <si>
    <t>L131</t>
  </si>
  <si>
    <t>C0131</t>
  </si>
  <si>
    <t>C0132</t>
  </si>
  <si>
    <t>C0133</t>
  </si>
  <si>
    <t>C0134</t>
  </si>
  <si>
    <t>C0135</t>
  </si>
  <si>
    <t>C0136</t>
  </si>
  <si>
    <t>C0137</t>
  </si>
  <si>
    <t>C0138</t>
  </si>
  <si>
    <t>C0139</t>
  </si>
  <si>
    <t>C0140</t>
  </si>
  <si>
    <t>L154</t>
  </si>
  <si>
    <t>Nazwa_Produktu</t>
  </si>
  <si>
    <t>Kategoria</t>
  </si>
  <si>
    <t>Cena_katalogowa</t>
  </si>
  <si>
    <t>Espresso</t>
  </si>
  <si>
    <t>Napoje gorące</t>
  </si>
  <si>
    <t>Cappuccino</t>
  </si>
  <si>
    <t>Latte</t>
  </si>
  <si>
    <t>Americano</t>
  </si>
  <si>
    <t>Herbata liściasta</t>
  </si>
  <si>
    <t>Mrożona kawa</t>
  </si>
  <si>
    <t>Napoje zimne</t>
  </si>
  <si>
    <t>Lemoniada</t>
  </si>
  <si>
    <t>Smoothie owocowe</t>
  </si>
  <si>
    <t>Croissant</t>
  </si>
  <si>
    <t>Wypieki</t>
  </si>
  <si>
    <t>Sernik</t>
  </si>
  <si>
    <t>Muffin czekoladowy</t>
  </si>
  <si>
    <t>Bagietka z szynką</t>
  </si>
  <si>
    <t>Przekąski</t>
  </si>
  <si>
    <t>Sałatka Cesar</t>
  </si>
  <si>
    <t>Batonik musli</t>
  </si>
  <si>
    <t>SEKCJA 1 — Funkcje podstawowe i logiczne</t>
  </si>
  <si>
    <t>Zadanie 1.1</t>
  </si>
  <si>
    <t>Jaki był łączny przychód ze wszystkich transakcji w danych?</t>
  </si>
  <si>
    <t>TWOJA ODPOWIEDŹ:</t>
  </si>
  <si>
    <t>Zadanie 1.2</t>
  </si>
  <si>
    <t>Jaka jest przeciętna wartość pojedynczej transakcji?</t>
  </si>
  <si>
    <t>Zadanie 1.3</t>
  </si>
  <si>
    <t>Jaka jest przeciętna liczba sprzedanych sztuk na transakcję? Podaj wynik zaokrąglony do 1 miejsca po przecinku.</t>
  </si>
  <si>
    <t>Zadanie 1.4</t>
  </si>
  <si>
    <t>W arkuszu Dane dodaj kolumnę 'Typ_zamowienia'. Oznacz transakcję jako 'Duże zamówienie', jeśli sprzedano więcej niż 6 sztuk, w pozostałych przypadkach jako 'Standardowe'.</t>
  </si>
  <si>
    <t>Wklej formułę z pierwszego wiersza jako potwierdzenie:</t>
  </si>
  <si>
    <t>Zadanie 1.5</t>
  </si>
  <si>
    <t>W arkuszu Dane dodaj kolumnę 'Priorytet'. Transakcje z lokalizacji 'Warszawa' z ilością większą niż 5 sztuk oznacz jako 'Wysoki'. Transakcje z lokalizacji 'Warszawa' lub 'Kraków', które nie spełniają pierwszego warunku, oznacz jako 'Średni'. Pozostałe jako 'Niski'.</t>
  </si>
  <si>
    <t>Zadanie 1.6</t>
  </si>
  <si>
    <t>Podaj przykład sytuacji biznesowej, w której potrzebujesz połączenia dwóch warunków, gdzie OBA muszą być spełnione naraz, oraz przykład sytuacji, w której wystarczy, że spełniony jest CHOCIAŻ JEDEN z nich.</t>
  </si>
  <si>
    <t>SEKCJA 2 — Wyszukiwanie danych</t>
  </si>
  <si>
    <t>Zadanie 2.1</t>
  </si>
  <si>
    <t>Dodaj kolumnę z nazwą produktu, na podstawie ID produktu, korzystając z arkusza Produkty.</t>
  </si>
  <si>
    <t>Wklej formułę z pierwszego wiersza:</t>
  </si>
  <si>
    <t>Zadanie 2.2</t>
  </si>
  <si>
    <t>Dodaj kolumnę z kategorią produktu, korzystając z arkusza Produkty.</t>
  </si>
  <si>
    <t>Zadanie 2.3</t>
  </si>
  <si>
    <t>Część transakcji ma ID produktu, którego nie ma w katalogu Produkty. Popraw formuły z zadań 2.1 i 2.2 tak, żeby zamiast błędu pokazywały tekst 'Brak w katalogu'.</t>
  </si>
  <si>
    <t>Wklej jedną z poprawionych formuł:</t>
  </si>
  <si>
    <t>Zadanie 2.4</t>
  </si>
  <si>
    <t>Dodaj kolumnę z ceną katalogową produktu oraz kolumnę z różnicą między ceną rzeczywistą a ceną katalogową.</t>
  </si>
  <si>
    <t>Wklej obie formuły:</t>
  </si>
  <si>
    <t>Zadanie 2.5</t>
  </si>
  <si>
    <t>Wymień co najmniej dwa konkretne ograniczenia starszej, bardziej podstawowej metody wyszukiwania danych w Excelu, których nie ma jej nowocześniejszy odpowiednik.</t>
  </si>
  <si>
    <t>SEKCJA 3 — Praca z tekstem</t>
  </si>
  <si>
    <t>Zadanie 3.1</t>
  </si>
  <si>
    <t>Kolumna z imieniem i nazwiskiem baristy jest niespójna (dodatkowe spacje, różna wielkość liter). Dodaj kolumnę, w której ujednolicisz to do formatu 'Imię Nazwisko'.</t>
  </si>
  <si>
    <t>Wklej formułę:</t>
  </si>
  <si>
    <t>Zadanie 3.2</t>
  </si>
  <si>
    <t>Wyodrębnij samą domenę z adresu e-mail (część po znaku @), zapisaną małymi literami, bez dodatkowych spacji.</t>
  </si>
  <si>
    <t>Zadanie 3.3</t>
  </si>
  <si>
    <t>Na podstawie oczyszczonego imienia i nazwiska (z zadania 3.1) wygeneruj inicjały w formacie 'J.K.'.</t>
  </si>
  <si>
    <t>Zadanie 3.4</t>
  </si>
  <si>
    <t>Połącz lokalizację i ID produktu w jeden tekst rozdzielony myślnikiem, np. 'Warszawa-K001'.</t>
  </si>
  <si>
    <t>Zadanie 3.5</t>
  </si>
  <si>
    <t>Zapisz datę transakcji jako tekst w formacie DD-MM-RRRR.</t>
  </si>
  <si>
    <t>Zadanie 3.6</t>
  </si>
  <si>
    <t>Status zamówienia też jest niespójny. Ujednolić go tak, żeby każda unikalna wartość merytoryczna była zapisana jednolicie.</t>
  </si>
  <si>
    <t>SEKCJA 4 — Agregowanie danych z warunkami</t>
  </si>
  <si>
    <t>Zadanie 4.1</t>
  </si>
  <si>
    <t>Ile wyniosła suma przychodu z lokalizacji 'Kraków', dla transakcji, w których sprzedano więcej niż 5 sztuk?</t>
  </si>
  <si>
    <t>Zadanie 4.2</t>
  </si>
  <si>
    <t>Jaka była średnia cena jednostkowa dla produktu o ID 'K001'?</t>
  </si>
  <si>
    <t>Zadanie 4.3</t>
  </si>
  <si>
    <t>Ile transakcji miało miejsce w lokalizacji 'Wrocław', gdzie ilość sztuk mieściła się między 3 a 8 (włącznie)?</t>
  </si>
  <si>
    <t>Zadanie 4.4</t>
  </si>
  <si>
    <t>Ile wyniosła suma przychodu z lokalizacji 'Poznań', kategorii 'Napoje gorące' (dociągniętej w zadaniu 2.2), w pierwszym półroczu 2024 roku?</t>
  </si>
  <si>
    <t>Zadanie 4.5</t>
  </si>
  <si>
    <t>Kiedy zwykłe funkcje agregujące (sumowanie, liczenie, średnia) przestają wystarczać i trzeba sięgnąć po ich warunkowe odpowiedniki?</t>
  </si>
  <si>
    <t>SEKCJA 5 — Tabele Excela</t>
  </si>
  <si>
    <t>Zadanie 5.1</t>
  </si>
  <si>
    <t>Przekształć zakres danych w arkuszu Dane w prawdziwą Tabelę Excela i nadaj jej sensowną nazwę.</t>
  </si>
  <si>
    <t>Wpisz TAK gdy wykonane:</t>
  </si>
  <si>
    <t>Zadanie 5.2</t>
  </si>
  <si>
    <t>Dodaj do tabeli kolumnę liczącą procentową marżę (różnica ceny z zadania 2.4, podzielona przez cenę katalogową), korzystając z odwołań charakterystycznych dla tabel Excela, a nie zwykłych odwołań do komórek.</t>
  </si>
  <si>
    <t>Wklej użytą formułę:</t>
  </si>
  <si>
    <t>Zadanie 5.3</t>
  </si>
  <si>
    <t>Podaj dwie konkretne korzyści z używania Tabeli Excela zamiast zwykłego zakresu komórek.</t>
  </si>
  <si>
    <t>SEKCJA 6 — Zestawienia zbiorcze</t>
  </si>
  <si>
    <t>Zadanie 6.1</t>
  </si>
  <si>
    <t>Na nowym arkuszu przygotuj zestawienie pokazujące sumę przychodu w rozbiciu na lokalizację (wiersze) i kategorię produktu (kolumny).</t>
  </si>
  <si>
    <t>Zadanie 6.2</t>
  </si>
  <si>
    <t>Rozbij to zestawienie dodatkowo na miesiące.</t>
  </si>
  <si>
    <t>Zadanie 6.3</t>
  </si>
  <si>
    <t>Obok pierwszego zestawienia przygotuj drugie, pokazujące, jaki procent przychodu w danym wierszu stanowi każda kategoria.</t>
  </si>
  <si>
    <t>Zadanie 6.4</t>
  </si>
  <si>
    <t>Dodaj do jednego z zestawień średnią cenę za sprzedaną sztukę.</t>
  </si>
  <si>
    <t>Zadanie 6.5</t>
  </si>
  <si>
    <t>Podaj konkretną sytuację biznesową, w której to narzędzie będzie lepszym rozwiązaniem niż budowanie tego samego formułami.</t>
  </si>
  <si>
    <t>SEKCJA 7 — Wizualizacja danych</t>
  </si>
  <si>
    <t>Zadanie 7.1</t>
  </si>
  <si>
    <t>Zbuduj wizualizację pokazującą przychód wg lokalizacji.</t>
  </si>
  <si>
    <t>Zadanie 7.2</t>
  </si>
  <si>
    <t>Zbuduj wizualizację pokazującą, jak przychód zmieniał się w czasie (miesiąc po miesiącu).</t>
  </si>
  <si>
    <t>Zadanie 7.3</t>
  </si>
  <si>
    <t>Zbuduj wizualizację najlepiej oddającą udział poszczególnych kategorii produktów w całkowitym przychodzie i uzasadnij, dlaczego wybrałeś akurat ten typ.</t>
  </si>
  <si>
    <t>Uzasadnienie wyboru:</t>
  </si>
  <si>
    <t>SEKCJA 8 — Interaktywne filtrowanie</t>
  </si>
  <si>
    <t>Zadanie 8.1</t>
  </si>
  <si>
    <t>Dodaj mechanizm pozwalający jednym kliknięciem filtrować zestawienie z zadania 6.1 po lokalizacji, bez ręcznego wpisywania filtra.</t>
  </si>
  <si>
    <t>Zadanie 8.2</t>
  </si>
  <si>
    <t>Spraw, żeby ten sam mechanizm filtrował jednocześnie oba zestawienia z Sekcji 6.</t>
  </si>
  <si>
    <t>Zadanie 8.3</t>
  </si>
  <si>
    <t>Co jest warunkiem koniecznym, żeby jeden taki mechanizm filtrujący mógł działać na kilku różnych zestawieniach naraz?</t>
  </si>
  <si>
    <t>→  Pracuj bezpośrednio w tym pliku.</t>
  </si>
  <si>
    <t>Typ_Zamówienia</t>
  </si>
  <si>
    <t>Priorytet</t>
  </si>
  <si>
    <t>Kategoria_Produktu</t>
  </si>
  <si>
    <t>Różnica_ceny</t>
  </si>
  <si>
    <t>vlookup ma kierunek szukania tylko w prawo i nie obsluguje bledow. Xlookup szuka w dowolną stronę i ma wbudowaną obsługę błędów</t>
  </si>
  <si>
    <t>Imię_Nazwisko</t>
  </si>
  <si>
    <t>Domena</t>
  </si>
  <si>
    <t>Inicjały</t>
  </si>
  <si>
    <t>Lokalizacja_ID</t>
  </si>
  <si>
    <t>Data_tekst</t>
  </si>
  <si>
    <t>Status</t>
  </si>
  <si>
    <t>Kiedy pytanie wymaga użycia warunków</t>
  </si>
  <si>
    <t>Row Labels</t>
  </si>
  <si>
    <t>Grand Total</t>
  </si>
  <si>
    <t>Brak w katalogu</t>
  </si>
  <si>
    <t>Sum of Przychod</t>
  </si>
  <si>
    <t>Tak</t>
  </si>
  <si>
    <t>Column Labels</t>
  </si>
  <si>
    <t>Total Sum of Przychod</t>
  </si>
  <si>
    <t>Marża</t>
  </si>
  <si>
    <t>sty</t>
  </si>
  <si>
    <t>lut</t>
  </si>
  <si>
    <t>mar</t>
  </si>
  <si>
    <t>kwi</t>
  </si>
  <si>
    <t>maj</t>
  </si>
  <si>
    <t>cze</t>
  </si>
  <si>
    <t>lip</t>
  </si>
  <si>
    <t>sie</t>
  </si>
  <si>
    <t>paź</t>
  </si>
  <si>
    <t>lis</t>
  </si>
  <si>
    <t>TAK</t>
  </si>
  <si>
    <t>tak</t>
  </si>
  <si>
    <t>Uznałem że najlepiej oddaje to diagram kołowy, gdyż koło idealnie obrazuje udział w całości</t>
  </si>
  <si>
    <t>Total AVG_za_sztuke</t>
  </si>
  <si>
    <t>AVG_za_sztuke</t>
  </si>
  <si>
    <t>.</t>
  </si>
  <si>
    <t>Muszą korzystać z tego samego źródła</t>
  </si>
  <si>
    <t>Wbudowane filtrowanie, automatyczne rozszerzanie tabeli</t>
  </si>
  <si>
    <t>Użycie warunku gdzie oba muszą być spełnione. Na przykład przy sprzedaży kiedy mamy promocje na komody i według stanu magazynowego chcemy ustalić piorytet zamówienia. A jeden warunek gdy szukamy transakcji powyzej jakiejs kwoty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</si>
</sst>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zł&quot;_-;\-* #,##0.00\ &quot;zł&quot;_-;_-* &quot;-&quot;??\ &quot;zł&quot;_-;_-@_-"/>
    <numFmt numFmtId="164" formatCode="dd\-mm\-yyyy"/>
  </numFmts>
  <fonts count="12" x14ac:knownFonts="1">
    <font>
      <sz val="11"/>
      <color theme="1"/>
      <name val="Calibri"/>
      <family val="2"/>
      <charset val="1"/>
    </font>
    <font>
      <b/>
      <sz val="16"/>
      <color rgb="FF1F4E78"/>
      <name val="Arial"/>
      <charset val="1"/>
    </font>
    <font>
      <sz val="10.5"/>
      <name val="Arial"/>
      <charset val="1"/>
    </font>
    <font>
      <b/>
      <sz val="11"/>
      <color rgb="FF1F4E78"/>
      <name val="Arial"/>
      <charset val="1"/>
    </font>
    <font>
      <b/>
      <sz val="10.5"/>
      <color rgb="FFFFFFFF"/>
      <name val="Arial"/>
      <charset val="1"/>
    </font>
    <font>
      <sz val="10"/>
      <name val="Arial"/>
      <charset val="1"/>
    </font>
    <font>
      <b/>
      <sz val="13"/>
      <color rgb="FFFFFFFF"/>
      <name val="Arial"/>
      <charset val="1"/>
    </font>
    <font>
      <i/>
      <sz val="9"/>
      <color rgb="FF808080"/>
      <name val="Arial"/>
      <charset val="1"/>
    </font>
    <font>
      <b/>
      <sz val="10.5"/>
      <color rgb="FFFFFFFF"/>
      <name val="Arial"/>
      <family val="2"/>
      <charset val="238"/>
    </font>
    <font>
      <sz val="11"/>
      <color theme="1"/>
      <name val="Calibri"/>
      <family val="2"/>
      <charset val="1"/>
    </font>
    <font>
      <sz val="8"/>
      <name val="Calibri"/>
      <family val="2"/>
      <charset val="1"/>
    </font>
    <font>
      <sz val="10.5"/>
      <name val="Arial"/>
      <family val="2"/>
      <charset val="238"/>
    </font>
  </fonts>
  <fills count="4">
    <fill>
      <patternFill patternType="none"/>
    </fill>
    <fill>
      <patternFill patternType="gray125"/>
    </fill>
    <fill>
      <patternFill patternType="solid">
        <fgColor rgb="FF305496"/>
        <bgColor rgb="FF1F4E78"/>
      </patternFill>
    </fill>
    <fill>
      <patternFill patternType="solid">
        <fgColor rgb="FFFFF2CC"/>
        <bgColor rgb="FFFFFFFF"/>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8F00"/>
      </left>
      <right style="thin">
        <color rgb="FFBF8F00"/>
      </right>
      <top style="thin">
        <color rgb="FFBF8F00"/>
      </top>
      <bottom style="thin">
        <color rgb="FFBF8F00"/>
      </bottom>
      <diagonal/>
    </border>
    <border>
      <left style="thin">
        <color rgb="FFBFBFBF"/>
      </left>
      <right style="thin">
        <color rgb="FFBFBFBF"/>
      </right>
      <top/>
      <bottom/>
      <diagonal/>
    </border>
  </borders>
  <cellStyleXfs count="2">
    <xf numFmtId="0" fontId="0" fillId="0" borderId="0"/>
    <xf numFmtId="9" fontId="9" fillId="0" borderId="0" applyFont="0" applyFill="0" applyBorder="0" applyAlignment="0" applyProtection="0"/>
  </cellStyleXfs>
  <cellXfs count="28">
    <xf numFmtId="0" fontId="0" fillId="0" borderId="0" xfId="0"/>
    <xf numFmtId="0" fontId="1" fillId="0" borderId="0" xfId="0" applyFont="1"/>
    <xf numFmtId="0" fontId="2" fillId="0" borderId="0" xfId="0" applyFont="1" applyAlignment="1">
      <alignment vertical="top" wrapText="1"/>
    </xf>
    <xf numFmtId="0" fontId="3" fillId="0" borderId="0" xfId="0" applyFont="1"/>
    <xf numFmtId="0" fontId="2" fillId="0" borderId="0" xfId="0" applyFont="1"/>
    <xf numFmtId="0" fontId="4" fillId="2" borderId="1" xfId="0" applyFont="1" applyFill="1" applyBorder="1" applyAlignment="1">
      <alignment horizontal="center" vertical="center" wrapText="1"/>
    </xf>
    <xf numFmtId="0" fontId="5" fillId="0" borderId="1" xfId="0" applyFont="1" applyBorder="1"/>
    <xf numFmtId="164" fontId="5" fillId="0" borderId="1" xfId="0" applyNumberFormat="1" applyFont="1" applyBorder="1"/>
    <xf numFmtId="4" fontId="5" fillId="0" borderId="1" xfId="0" applyNumberFormat="1" applyFont="1" applyBorder="1"/>
    <xf numFmtId="0" fontId="4" fillId="2" borderId="1" xfId="0" applyFont="1" applyFill="1" applyBorder="1" applyAlignment="1">
      <alignment horizontal="center" vertical="center"/>
    </xf>
    <xf numFmtId="0" fontId="7" fillId="0" borderId="0" xfId="0" applyFont="1"/>
    <xf numFmtId="0" fontId="2" fillId="3" borderId="2" xfId="0" applyFont="1" applyFill="1" applyBorder="1"/>
    <xf numFmtId="4" fontId="2" fillId="3" borderId="2" xfId="0" applyNumberFormat="1" applyFont="1" applyFill="1" applyBorder="1"/>
    <xf numFmtId="0" fontId="4" fillId="2" borderId="3" xfId="0" applyFont="1" applyFill="1" applyBorder="1" applyAlignment="1">
      <alignment horizontal="center" vertical="center" wrapText="1"/>
    </xf>
    <xf numFmtId="44" fontId="4" fillId="2" borderId="3" xfId="0" applyNumberFormat="1" applyFont="1" applyFill="1" applyBorder="1" applyAlignment="1">
      <alignment horizontal="center" vertical="center" wrapText="1"/>
    </xf>
    <xf numFmtId="44" fontId="0" fillId="0" borderId="0" xfId="0" applyNumberFormat="1"/>
    <xf numFmtId="0" fontId="8" fillId="2" borderId="3" xfId="0" applyFont="1" applyFill="1" applyBorder="1" applyAlignment="1">
      <alignment horizontal="center" vertical="center" wrapText="1"/>
    </xf>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9" fontId="0" fillId="0" borderId="0" xfId="1" applyFont="1"/>
    <xf numFmtId="14" fontId="0" fillId="0" borderId="0" xfId="0" applyNumberFormat="1" applyAlignment="1">
      <alignment horizontal="left" indent="1"/>
    </xf>
    <xf numFmtId="10" fontId="0" fillId="0" borderId="0" xfId="0" applyNumberFormat="1"/>
    <xf numFmtId="0" fontId="11" fillId="3" borderId="2" xfId="0" applyFont="1" applyFill="1" applyBorder="1"/>
    <xf numFmtId="0" fontId="2" fillId="0" borderId="0" xfId="0" applyFont="1" applyBorder="1" applyAlignment="1">
      <alignment vertical="top" wrapText="1"/>
    </xf>
    <xf numFmtId="0" fontId="6" fillId="2" borderId="0" xfId="0" applyFont="1" applyFill="1" applyBorder="1" applyAlignment="1">
      <alignment horizontal="left" vertical="center" indent="1"/>
    </xf>
  </cellXfs>
  <cellStyles count="2">
    <cellStyle name="Normal" xfId="0" builtinId="0"/>
    <cellStyle name="Percent" xfId="1" builtinId="5"/>
  </cellStyles>
  <dxfs count="15">
    <dxf>
      <font>
        <b val="0"/>
        <i val="0"/>
        <strike val="0"/>
        <condense val="0"/>
        <extend val="0"/>
        <outline val="0"/>
        <shadow val="0"/>
        <u val="none"/>
        <vertAlign val="baseline"/>
        <sz val="11"/>
        <color theme="1"/>
        <name val="Calibri"/>
        <family val="2"/>
        <charset val="1"/>
        <scheme val="none"/>
      </font>
    </dxf>
    <dxf>
      <numFmt numFmtId="34" formatCode="_-* #,##0.00\ &quot;zł&quot;_-;\-* #,##0.00\ &quot;zł&quot;_-;_-* &quot;-&quot;??\ &quot;zł&quot;_-;_-@_-"/>
    </dxf>
    <dxf>
      <numFmt numFmtId="34" formatCode="_-* #,##0.00\ &quot;zł&quot;_-;\-* #,##0.00\ &quot;zł&quot;_-;_-* &quot;-&quot;??\ &quot;zł&quot;_-;_-@_-"/>
    </dxf>
    <dxf>
      <font>
        <b val="0"/>
        <i val="0"/>
        <strike val="0"/>
        <condense val="0"/>
        <extend val="0"/>
        <outline val="0"/>
        <shadow val="0"/>
        <u val="none"/>
        <vertAlign val="baseline"/>
        <sz val="10"/>
        <color auto="1"/>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numFmt numFmtId="4" formatCode="#,##0.0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numFmt numFmtId="4" formatCode="#,##0.0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numFmt numFmtId="164" formatCode="dd\-mm\-yyyy"/>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border diagonalUp="0" diagonalDown="0">
        <left style="thin">
          <color rgb="FFBFBFBF"/>
        </left>
        <right style="thin">
          <color rgb="FFBFBFBF"/>
        </right>
        <top style="thin">
          <color rgb="FFBFBFBF"/>
        </top>
        <bottom style="thin">
          <color rgb="FFBFBFBF"/>
        </bottom>
        <vertical/>
        <horizontal/>
      </border>
    </dxf>
    <dxf>
      <font>
        <b/>
        <i val="0"/>
        <strike val="0"/>
        <condense val="0"/>
        <extend val="0"/>
        <outline val="0"/>
        <shadow val="0"/>
        <u val="none"/>
        <vertAlign val="baseline"/>
        <sz val="10.5"/>
        <color rgb="FFFFFFFF"/>
        <name val="Arial"/>
        <charset val="1"/>
        <scheme val="none"/>
      </font>
      <fill>
        <patternFill patternType="solid">
          <fgColor rgb="FF1F4E78"/>
          <bgColor rgb="FF305496"/>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BF8F00"/>
      <rgbColor rgb="FFFF6600"/>
      <rgbColor rgb="FF666699"/>
      <rgbColor rgb="FF969696"/>
      <rgbColor rgb="FF1F4E78"/>
      <rgbColor rgb="FF339966"/>
      <rgbColor rgb="FF003300"/>
      <rgbColor rgb="FF333300"/>
      <rgbColor rgb="FF993300"/>
      <rgbColor rgb="FF993366"/>
      <rgbColor rgb="FF30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
        <c:idx val="9"/>
        <c:marker>
          <c:symbol val="none"/>
        </c:marker>
        <c:dLbl>
          <c:idx val="0"/>
          <c:delete val="1"/>
          <c:extLst>
            <c:ext xmlns:c15="http://schemas.microsoft.com/office/drawing/2012/chart" uri="{CE6537A1-D6FC-4f65-9D91-7224C49458BB}"/>
          </c:extLst>
        </c:dLbl>
      </c:pivotFmt>
      <c:pivotFmt>
        <c:idx val="10"/>
        <c:marker>
          <c:symbol val="none"/>
        </c:marker>
        <c:dLbl>
          <c:idx val="0"/>
          <c:delete val="1"/>
          <c:extLst>
            <c:ext xmlns:c15="http://schemas.microsoft.com/office/drawing/2012/chart" uri="{CE6537A1-D6FC-4f65-9D91-7224C49458BB}"/>
          </c:extLst>
        </c:dLbl>
      </c:pivotFmt>
      <c:pivotFmt>
        <c:idx val="11"/>
        <c:marker>
          <c:symbol val="none"/>
        </c:marker>
        <c:dLbl>
          <c:idx val="0"/>
          <c:delete val="1"/>
          <c:extLst>
            <c:ext xmlns:c15="http://schemas.microsoft.com/office/drawing/2012/chart" uri="{CE6537A1-D6FC-4f65-9D91-7224C49458BB}"/>
          </c:extLst>
        </c:dLbl>
      </c:pivotFmt>
      <c:pivotFmt>
        <c:idx val="12"/>
        <c:marker>
          <c:symbol val="none"/>
        </c:marker>
        <c:dLbl>
          <c:idx val="0"/>
          <c:delete val="1"/>
          <c:extLst>
            <c:ext xmlns:c15="http://schemas.microsoft.com/office/drawing/2012/chart" uri="{CE6537A1-D6FC-4f65-9D91-7224C49458BB}"/>
          </c:extLst>
        </c:dLbl>
      </c:pivotFmt>
      <c:pivotFmt>
        <c:idx val="13"/>
        <c:marker>
          <c:symbol val="none"/>
        </c:marker>
        <c:dLbl>
          <c:idx val="0"/>
          <c:delete val="1"/>
          <c:extLst>
            <c:ext xmlns:c15="http://schemas.microsoft.com/office/drawing/2012/chart" uri="{CE6537A1-D6FC-4f65-9D91-7224C49458BB}"/>
          </c:extLst>
        </c:dLbl>
      </c:pivotFmt>
      <c:pivotFmt>
        <c:idx val="14"/>
        <c:marker>
          <c:symbol val="none"/>
        </c:marker>
        <c:dLbl>
          <c:idx val="0"/>
          <c:delete val="1"/>
          <c:extLst>
            <c:ext xmlns:c15="http://schemas.microsoft.com/office/drawing/2012/chart" uri="{CE6537A1-D6FC-4f65-9D91-7224C49458BB}"/>
          </c:extLst>
        </c:dLbl>
      </c:pivotFmt>
      <c:pivotFmt>
        <c:idx val="15"/>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6"/>
              <c:pt idx="0">
                <c:v>Gdańsk</c:v>
              </c:pt>
              <c:pt idx="1">
                <c:v>Kraków</c:v>
              </c:pt>
              <c:pt idx="2">
                <c:v>Poznań</c:v>
              </c:pt>
              <c:pt idx="3">
                <c:v>Warszawa</c:v>
              </c:pt>
              <c:pt idx="4">
                <c:v>Wrocław</c:v>
              </c:pt>
              <c:pt idx="5">
                <c:v>(blank)</c:v>
              </c:pt>
            </c:strLit>
          </c:cat>
          <c:val>
            <c:numLit>
              <c:formatCode>General</c:formatCode>
              <c:ptCount val="6"/>
              <c:pt idx="0">
                <c:v>2090.4400000000005</c:v>
              </c:pt>
              <c:pt idx="1">
                <c:v>2864.93</c:v>
              </c:pt>
              <c:pt idx="2">
                <c:v>2455.8400000000011</c:v>
              </c:pt>
              <c:pt idx="3">
                <c:v>1894.8400000000001</c:v>
              </c:pt>
              <c:pt idx="4">
                <c:v>2016.47</c:v>
              </c:pt>
              <c:pt idx="5">
                <c:v>0</c:v>
              </c:pt>
            </c:numLit>
          </c:val>
          <c:extLst>
            <c:ext xmlns:c16="http://schemas.microsoft.com/office/drawing/2014/chart" uri="{C3380CC4-5D6E-409C-BE32-E72D297353CC}">
              <c16:uniqueId val="{00000003-B456-4FA9-AEAA-A646773172C3}"/>
            </c:ext>
          </c:extLst>
        </c:ser>
        <c:dLbls>
          <c:showLegendKey val="0"/>
          <c:showVal val="0"/>
          <c:showCatName val="0"/>
          <c:showSerName val="0"/>
          <c:showPercent val="0"/>
          <c:showBubbleSize val="0"/>
        </c:dLbls>
        <c:gapWidth val="219"/>
        <c:overlap val="-27"/>
        <c:axId val="1245976351"/>
        <c:axId val="1245963391"/>
      </c:barChart>
      <c:catAx>
        <c:axId val="1245976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963391"/>
        <c:crosses val="autoZero"/>
        <c:auto val="1"/>
        <c:lblAlgn val="ctr"/>
        <c:lblOffset val="100"/>
        <c:noMultiLvlLbl val="0"/>
      </c:catAx>
      <c:valAx>
        <c:axId val="1245963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976351"/>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13"/>
              <c:pt idx="0">
                <c:v>&lt;06.01.2024</c:v>
              </c:pt>
              <c:pt idx="1">
                <c:v>sty</c:v>
              </c:pt>
              <c:pt idx="2">
                <c:v>lut</c:v>
              </c:pt>
              <c:pt idx="3">
                <c:v>mar</c:v>
              </c:pt>
              <c:pt idx="4">
                <c:v>kwi</c:v>
              </c:pt>
              <c:pt idx="5">
                <c:v>maj</c:v>
              </c:pt>
              <c:pt idx="6">
                <c:v>cze</c:v>
              </c:pt>
              <c:pt idx="7">
                <c:v>lip</c:v>
              </c:pt>
              <c:pt idx="8">
                <c:v>sie</c:v>
              </c:pt>
              <c:pt idx="9">
                <c:v>wrz</c:v>
              </c:pt>
              <c:pt idx="10">
                <c:v>paź</c:v>
              </c:pt>
              <c:pt idx="11">
                <c:v>lis</c:v>
              </c:pt>
              <c:pt idx="12">
                <c:v>gru</c:v>
              </c:pt>
            </c:strLit>
          </c:cat>
          <c:val>
            <c:numLit>
              <c:formatCode>General</c:formatCode>
              <c:ptCount val="13"/>
              <c:pt idx="0">
                <c:v>0</c:v>
              </c:pt>
              <c:pt idx="1">
                <c:v>1015.47</c:v>
              </c:pt>
              <c:pt idx="2">
                <c:v>615.62</c:v>
              </c:pt>
              <c:pt idx="3">
                <c:v>1093.0899999999999</c:v>
              </c:pt>
              <c:pt idx="4">
                <c:v>1723.51</c:v>
              </c:pt>
              <c:pt idx="5">
                <c:v>1009.3499999999999</c:v>
              </c:pt>
              <c:pt idx="6">
                <c:v>494.47999999999996</c:v>
              </c:pt>
              <c:pt idx="7">
                <c:v>1387.01</c:v>
              </c:pt>
              <c:pt idx="8">
                <c:v>1138.2199999999998</c:v>
              </c:pt>
              <c:pt idx="9">
                <c:v>385.34000000000003</c:v>
              </c:pt>
              <c:pt idx="10">
                <c:v>961.46</c:v>
              </c:pt>
              <c:pt idx="11">
                <c:v>683.08</c:v>
              </c:pt>
              <c:pt idx="12">
                <c:v>815.8900000000001</c:v>
              </c:pt>
            </c:numLit>
          </c:val>
          <c:smooth val="0"/>
          <c:extLst>
            <c:ext xmlns:c16="http://schemas.microsoft.com/office/drawing/2014/chart" uri="{C3380CC4-5D6E-409C-BE32-E72D297353CC}">
              <c16:uniqueId val="{00000000-BB45-4A5D-BF7F-1F60261D4644}"/>
            </c:ext>
          </c:extLst>
        </c:ser>
        <c:dLbls>
          <c:showLegendKey val="0"/>
          <c:showVal val="0"/>
          <c:showCatName val="0"/>
          <c:showSerName val="0"/>
          <c:showPercent val="0"/>
          <c:showBubbleSize val="0"/>
        </c:dLbls>
        <c:smooth val="0"/>
        <c:axId val="1571298032"/>
        <c:axId val="1571299472"/>
      </c:lineChart>
      <c:catAx>
        <c:axId val="1571298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299472"/>
        <c:crosses val="autoZero"/>
        <c:auto val="1"/>
        <c:lblAlgn val="ctr"/>
        <c:lblOffset val="100"/>
        <c:noMultiLvlLbl val="0"/>
      </c:catAx>
      <c:valAx>
        <c:axId val="1571299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298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59142607174104"/>
          <c:y val="0.32177165354330706"/>
          <c:w val="0.35240048118985129"/>
          <c:h val="0.58733413531641876"/>
        </c:manualLayout>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A42-4751-95BF-D296FAAD1DC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A42-4751-95BF-D296FAAD1DC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A42-4751-95BF-D296FAAD1DC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A42-4751-95BF-D296FAAD1DC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A42-4751-95BF-D296FAAD1DC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A42-4751-95BF-D296FAAD1DC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6"/>
              <c:pt idx="0">
                <c:v>Brak w katalogu</c:v>
              </c:pt>
              <c:pt idx="1">
                <c:v>Napoje gorące</c:v>
              </c:pt>
              <c:pt idx="2">
                <c:v>Napoje zimne</c:v>
              </c:pt>
              <c:pt idx="3">
                <c:v>Przekąski</c:v>
              </c:pt>
              <c:pt idx="4">
                <c:v>Wypieki</c:v>
              </c:pt>
              <c:pt idx="5">
                <c:v>(blank)</c:v>
              </c:pt>
            </c:strLit>
          </c:cat>
          <c:val>
            <c:numLit>
              <c:formatCode>General</c:formatCode>
              <c:ptCount val="6"/>
              <c:pt idx="0">
                <c:v>562.70000000000005</c:v>
              </c:pt>
              <c:pt idx="1">
                <c:v>4154.8100000000004</c:v>
              </c:pt>
              <c:pt idx="2">
                <c:v>2199.6900000000005</c:v>
              </c:pt>
              <c:pt idx="3">
                <c:v>2894.93</c:v>
              </c:pt>
              <c:pt idx="4">
                <c:v>1510.39</c:v>
              </c:pt>
              <c:pt idx="5">
                <c:v>0</c:v>
              </c:pt>
            </c:numLit>
          </c:val>
          <c:extLst>
            <c:ext xmlns:c16="http://schemas.microsoft.com/office/drawing/2014/chart" uri="{C3380CC4-5D6E-409C-BE32-E72D297353CC}">
              <c16:uniqueId val="{00000000-D886-4661-9314-3CDCE0672B1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13</xdr:col>
      <xdr:colOff>180975</xdr:colOff>
      <xdr:row>0</xdr:row>
      <xdr:rowOff>0</xdr:rowOff>
    </xdr:from>
    <xdr:to>
      <xdr:col>14</xdr:col>
      <xdr:colOff>962024</xdr:colOff>
      <xdr:row>13</xdr:row>
      <xdr:rowOff>47625</xdr:rowOff>
    </xdr:to>
    <mc:AlternateContent xmlns:mc="http://schemas.openxmlformats.org/markup-compatibility/2006" xmlns:a14="http://schemas.microsoft.com/office/drawing/2010/main">
      <mc:Choice Requires="a14">
        <xdr:graphicFrame macro="">
          <xdr:nvGraphicFramePr>
            <xdr:cNvPr id="4" name="Lokalizacja">
              <a:extLst>
                <a:ext uri="{FF2B5EF4-FFF2-40B4-BE49-F238E27FC236}">
                  <a16:creationId xmlns:a16="http://schemas.microsoft.com/office/drawing/2014/main" id="{CCE1DB59-1365-67E5-5419-1F811C9C10E8}"/>
                </a:ext>
              </a:extLst>
            </xdr:cNvPr>
            <xdr:cNvGraphicFramePr/>
          </xdr:nvGraphicFramePr>
          <xdr:xfrm>
            <a:off x="0" y="0"/>
            <a:ext cx="0" cy="0"/>
          </xdr:xfrm>
          <a:graphic>
            <a:graphicData uri="http://schemas.microsoft.com/office/drawing/2010/slicer">
              <sle:slicer xmlns:sle="http://schemas.microsoft.com/office/drawing/2010/slicer" name="Lokalizacja"/>
            </a:graphicData>
          </a:graphic>
        </xdr:graphicFrame>
      </mc:Choice>
      <mc:Fallback xmlns="">
        <xdr:sp macro="" textlink="">
          <xdr:nvSpPr>
            <xdr:cNvPr id="0" name=""/>
            <xdr:cNvSpPr>
              <a:spLocks noTextEdit="1"/>
            </xdr:cNvSpPr>
          </xdr:nvSpPr>
          <xdr:spPr>
            <a:xfrm>
              <a:off x="20993100" y="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28575</xdr:colOff>
      <xdr:row>0</xdr:row>
      <xdr:rowOff>0</xdr:rowOff>
    </xdr:from>
    <xdr:to>
      <xdr:col>9</xdr:col>
      <xdr:colOff>428625</xdr:colOff>
      <xdr:row>14</xdr:row>
      <xdr:rowOff>76200</xdr:rowOff>
    </xdr:to>
    <xdr:graphicFrame macro="">
      <xdr:nvGraphicFramePr>
        <xdr:cNvPr id="3" name="Chart 2">
          <a:extLst>
            <a:ext uri="{FF2B5EF4-FFF2-40B4-BE49-F238E27FC236}">
              <a16:creationId xmlns:a16="http://schemas.microsoft.com/office/drawing/2014/main" id="{98917D17-242C-20B4-C94A-BE910C5FF0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76200</xdr:colOff>
      <xdr:row>15</xdr:row>
      <xdr:rowOff>61912</xdr:rowOff>
    </xdr:from>
    <xdr:to>
      <xdr:col>11</xdr:col>
      <xdr:colOff>47625</xdr:colOff>
      <xdr:row>29</xdr:row>
      <xdr:rowOff>138112</xdr:rowOff>
    </xdr:to>
    <xdr:graphicFrame macro="">
      <xdr:nvGraphicFramePr>
        <xdr:cNvPr id="5" name="Chart 4">
          <a:extLst>
            <a:ext uri="{FF2B5EF4-FFF2-40B4-BE49-F238E27FC236}">
              <a16:creationId xmlns:a16="http://schemas.microsoft.com/office/drawing/2014/main" id="{1A9630B7-4B27-5160-45EA-077BA9D478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114300</xdr:colOff>
      <xdr:row>31</xdr:row>
      <xdr:rowOff>14287</xdr:rowOff>
    </xdr:from>
    <xdr:to>
      <xdr:col>8</xdr:col>
      <xdr:colOff>447675</xdr:colOff>
      <xdr:row>45</xdr:row>
      <xdr:rowOff>90487</xdr:rowOff>
    </xdr:to>
    <xdr:graphicFrame macro="">
      <xdr:nvGraphicFramePr>
        <xdr:cNvPr id="6" name="Chart 5">
          <a:extLst>
            <a:ext uri="{FF2B5EF4-FFF2-40B4-BE49-F238E27FC236}">
              <a16:creationId xmlns:a16="http://schemas.microsoft.com/office/drawing/2014/main" id="{ECF2B3FD-69DF-1E90-994A-472AECC8B7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fał" refreshedDate="46265.527234259258" createdVersion="8" refreshedVersion="8" minRefreshableVersion="3" recordCount="141" xr:uid="{217C90B7-8477-43E3-8491-238D6C1CF52D}">
  <cacheSource type="worksheet">
    <worksheetSource name="Table1"/>
  </cacheSource>
  <cacheFields count="28">
    <cacheField name="ID_Transakcji" numFmtId="0">
      <sharedItems containsBlank="1"/>
    </cacheField>
    <cacheField name="Data" numFmtId="0">
      <sharedItems containsNonDate="0" containsDate="1" containsString="0" containsBlank="1" minDate="2024-01-06T00:00:00" maxDate="2024-12-29T00:00:00" count="115">
        <d v="2024-07-25T00:00:00"/>
        <d v="2024-07-15T00:00:00"/>
        <d v="2024-07-17T00:00:00"/>
        <d v="2024-12-12T00:00:00"/>
        <d v="2024-09-30T00:00:00"/>
        <d v="2024-04-20T00:00:00"/>
        <d v="2024-01-12T00:00:00"/>
        <d v="2024-11-12T00:00:00"/>
        <d v="2024-04-18T00:00:00"/>
        <d v="2024-01-29T00:00:00"/>
        <d v="2024-03-31T00:00:00"/>
        <d v="2024-07-04T00:00:00"/>
        <d v="2024-06-21T00:00:00"/>
        <d v="2024-07-23T00:00:00"/>
        <d v="2024-06-09T00:00:00"/>
        <d v="2024-02-05T00:00:00"/>
        <d v="2024-05-28T00:00:00"/>
        <d v="2024-08-13T00:00:00"/>
        <d v="2024-04-08T00:00:00"/>
        <d v="2024-03-26T00:00:00"/>
        <d v="2024-11-16T00:00:00"/>
        <d v="2024-08-01T00:00:00"/>
        <d v="2024-07-21T00:00:00"/>
        <d v="2024-07-18T00:00:00"/>
        <d v="2024-04-04T00:00:00"/>
        <d v="2024-01-08T00:00:00"/>
        <d v="2024-05-20T00:00:00"/>
        <d v="2024-01-25T00:00:00"/>
        <d v="2024-04-27T00:00:00"/>
        <d v="2024-10-13T00:00:00"/>
        <d v="2024-03-05T00:00:00"/>
        <d v="2024-04-28T00:00:00"/>
        <d v="2024-02-26T00:00:00"/>
        <d v="2024-04-30T00:00:00"/>
        <d v="2024-08-15T00:00:00"/>
        <d v="2024-01-06T00:00:00"/>
        <d v="2024-12-15T00:00:00"/>
        <d v="2024-04-26T00:00:00"/>
        <d v="2024-08-10T00:00:00"/>
        <d v="2024-10-23T00:00:00"/>
        <d v="2024-03-25T00:00:00"/>
        <d v="2024-04-29T00:00:00"/>
        <d v="2024-08-31T00:00:00"/>
        <d v="2024-02-09T00:00:00"/>
        <d v="2024-05-03T00:00:00"/>
        <d v="2024-08-11T00:00:00"/>
        <d v="2024-06-05T00:00:00"/>
        <d v="2024-07-13T00:00:00"/>
        <d v="2024-01-15T00:00:00"/>
        <d v="2024-12-02T00:00:00"/>
        <d v="2024-04-22T00:00:00"/>
        <d v="2024-12-06T00:00:00"/>
        <d v="2024-09-10T00:00:00"/>
        <d v="2024-07-22T00:00:00"/>
        <d v="2024-12-22T00:00:00"/>
        <d v="2024-10-27T00:00:00"/>
        <d v="2024-01-07T00:00:00"/>
        <d v="2024-07-31T00:00:00"/>
        <d v="2024-06-04T00:00:00"/>
        <d v="2024-08-30T00:00:00"/>
        <d v="2024-09-13T00:00:00"/>
        <d v="2024-11-10T00:00:00"/>
        <d v="2024-02-15T00:00:00"/>
        <d v="2024-01-22T00:00:00"/>
        <d v="2024-06-15T00:00:00"/>
        <d v="2024-03-24T00:00:00"/>
        <d v="2024-10-30T00:00:00"/>
        <d v="2024-05-29T00:00:00"/>
        <d v="2024-01-17T00:00:00"/>
        <d v="2024-08-07T00:00:00"/>
        <d v="2024-03-09T00:00:00"/>
        <d v="2024-12-25T00:00:00"/>
        <d v="2024-11-25T00:00:00"/>
        <d v="2024-04-13T00:00:00"/>
        <d v="2024-03-20T00:00:00"/>
        <d v="2024-03-10T00:00:00"/>
        <d v="2024-10-01T00:00:00"/>
        <d v="2024-12-28T00:00:00"/>
        <d v="2024-05-08T00:00:00"/>
        <d v="2024-05-10T00:00:00"/>
        <d v="2024-10-07T00:00:00"/>
        <d v="2024-06-16T00:00:00"/>
        <d v="2024-08-27T00:00:00"/>
        <d v="2024-12-26T00:00:00"/>
        <d v="2024-05-05T00:00:00"/>
        <d v="2024-11-01T00:00:00"/>
        <d v="2024-07-10T00:00:00"/>
        <d v="2024-06-02T00:00:00"/>
        <d v="2024-04-10T00:00:00"/>
        <d v="2024-04-06T00:00:00"/>
        <d v="2024-01-20T00:00:00"/>
        <d v="2024-05-15T00:00:00"/>
        <d v="2024-02-23T00:00:00"/>
        <d v="2024-04-05T00:00:00"/>
        <d v="2024-02-14T00:00:00"/>
        <d v="2024-06-23T00:00:00"/>
        <d v="2024-12-09T00:00:00"/>
        <d v="2024-05-27T00:00:00"/>
        <d v="2024-11-02T00:00:00"/>
        <d v="2024-03-12T00:00:00"/>
        <d v="2024-08-16T00:00:00"/>
        <d v="2024-04-15T00:00:00"/>
        <d v="2024-02-06T00:00:00"/>
        <d v="2024-05-17T00:00:00"/>
        <d v="2024-09-19T00:00:00"/>
        <d v="2024-10-22T00:00:00"/>
        <d v="2024-11-18T00:00:00"/>
        <d v="2024-12-08T00:00:00"/>
        <d v="2024-10-20T00:00:00"/>
        <d v="2024-11-14T00:00:00"/>
        <d v="2024-08-20T00:00:00"/>
        <d v="2024-03-23T00:00:00"/>
        <d v="2024-04-21T00:00:00"/>
        <d v="2024-02-12T00:00:00"/>
        <m/>
      </sharedItems>
      <fieldGroup par="25"/>
    </cacheField>
    <cacheField name="Lokalizacja" numFmtId="0">
      <sharedItems containsBlank="1" count="6">
        <s v="Poznań"/>
        <s v="Gdańsk"/>
        <s v="Kraków"/>
        <s v="Warszawa"/>
        <s v="Wrocław"/>
        <m/>
      </sharedItems>
    </cacheField>
    <cacheField name="Barista_surowe" numFmtId="0">
      <sharedItems containsBlank="1"/>
    </cacheField>
    <cacheField name="Email_surowy" numFmtId="0">
      <sharedItems containsBlank="1"/>
    </cacheField>
    <cacheField name="ID_Produktu" numFmtId="0">
      <sharedItems containsBlank="1"/>
    </cacheField>
    <cacheField name="Ilosc" numFmtId="0">
      <sharedItems containsString="0" containsBlank="1" containsNumber="1" containsInteger="1" minValue="1" maxValue="12"/>
    </cacheField>
    <cacheField name="Cena_jednostkowa" numFmtId="0">
      <sharedItems containsString="0" containsBlank="1" containsNumber="1" minValue="5.63" maxValue="22.85"/>
    </cacheField>
    <cacheField name="Przychod" numFmtId="0">
      <sharedItems containsString="0" containsBlank="1" containsNumber="1" minValue="5.74" maxValue="246.72" count="138">
        <n v="33.450000000000003"/>
        <n v="142.80000000000001"/>
        <n v="57"/>
        <n v="81.09"/>
        <n v="125.6"/>
        <n v="125.91"/>
        <n v="90.51"/>
        <n v="49.68"/>
        <n v="62.91"/>
        <n v="23.86"/>
        <n v="130.56"/>
        <n v="14.26"/>
        <n v="14.84"/>
        <n v="121.99"/>
        <n v="45.42"/>
        <n v="172.48"/>
        <n v="92.6"/>
        <n v="16"/>
        <n v="246.72"/>
        <n v="76.680000000000007"/>
        <n v="69.36"/>
        <n v="59.25"/>
        <n v="167.7"/>
        <n v="43.47"/>
        <n v="78.88"/>
        <n v="109.53"/>
        <n v="97.32"/>
        <n v="145.30000000000001"/>
        <n v="101.76"/>
        <n v="105.05"/>
        <n v="16.18"/>
        <n v="197.37"/>
        <n v="169.95"/>
        <n v="15.89"/>
        <n v="12.38"/>
        <n v="94.85"/>
        <n v="21.74"/>
        <n v="5.74"/>
        <n v="111.2"/>
        <n v="41.6"/>
        <n v="145.53"/>
        <n v="77.67"/>
        <n v="164.5"/>
        <n v="90.23"/>
        <n v="114.17"/>
        <n v="22.42"/>
        <n v="41.75"/>
        <n v="37.11"/>
        <n v="50.46"/>
        <n v="91.35"/>
        <n v="19.940000000000001"/>
        <n v="99.42"/>
        <n v="63.7"/>
        <n v="99.4"/>
        <n v="83.58"/>
        <n v="110.4"/>
        <n v="210.24"/>
        <n v="91"/>
        <n v="59.56"/>
        <n v="67.92"/>
        <n v="120.67"/>
        <n v="107.04"/>
        <n v="93.69"/>
        <n v="64.44"/>
        <n v="65.069999999999993"/>
        <n v="87.92"/>
        <n v="85.55"/>
        <n v="34"/>
        <n v="60.96"/>
        <n v="80.28"/>
        <n v="68.13"/>
        <n v="110.88"/>
        <n v="241.56"/>
        <n v="26.85"/>
        <n v="39.409999999999997"/>
        <n v="51.78"/>
        <n v="42"/>
        <n v="66.150000000000006"/>
        <n v="87.76"/>
        <n v="45.7"/>
        <n v="48.4"/>
        <n v="36.32"/>
        <n v="191.79"/>
        <n v="47.32"/>
        <n v="17.309999999999999"/>
        <n v="38.85"/>
        <n v="74.97"/>
        <n v="15.71"/>
        <n v="61.02"/>
        <n v="187.66"/>
        <n v="55.09"/>
        <n v="109.76"/>
        <n v="89.68"/>
        <n v="98.16"/>
        <n v="26.94"/>
        <n v="145.4"/>
        <n v="193.6"/>
        <n v="94.16"/>
        <n v="86.8"/>
        <n v="7.34"/>
        <n v="150.72"/>
        <n v="100.26"/>
        <n v="60.4"/>
        <n v="60.95"/>
        <n v="71.84"/>
        <n v="63.42"/>
        <n v="90.12"/>
        <n v="46.15"/>
        <n v="74.760000000000005"/>
        <n v="51.8"/>
        <n v="47.19"/>
        <n v="69.84"/>
        <n v="10.31"/>
        <n v="34.119999999999997"/>
        <n v="52.29"/>
        <n v="49.48"/>
        <n v="45.16"/>
        <n v="23.66"/>
        <n v="14.46"/>
        <n v="84.9"/>
        <n v="191.52"/>
        <n v="26.25"/>
        <n v="134.69999999999999"/>
        <n v="87.1"/>
        <n v="133.36000000000001"/>
        <n v="16.66"/>
        <n v="43.1"/>
        <n v="90"/>
        <n v="30.3"/>
        <n v="50.34"/>
        <n v="64.98"/>
        <n v="181.26"/>
        <n v="142.72"/>
        <n v="156.24"/>
        <n v="106.9"/>
        <n v="15.75"/>
        <n v="41.91"/>
        <m/>
      </sharedItems>
    </cacheField>
    <cacheField name="ID_Karty" numFmtId="0">
      <sharedItems containsBlank="1"/>
    </cacheField>
    <cacheField name="Status_surowy" numFmtId="0">
      <sharedItems containsBlank="1"/>
    </cacheField>
    <cacheField name="Typ_Zamówienia" numFmtId="0">
      <sharedItems containsBlank="1"/>
    </cacheField>
    <cacheField name="Priorytet" numFmtId="0">
      <sharedItems containsBlank="1"/>
    </cacheField>
    <cacheField name="Nazwa_Produktu" numFmtId="0">
      <sharedItems containsBlank="1"/>
    </cacheField>
    <cacheField name="Kategoria_Produktu" numFmtId="0">
      <sharedItems containsBlank="1" count="6">
        <s v="Napoje gorące"/>
        <s v="Napoje zimne"/>
        <s v="Przekąski"/>
        <s v="Wypieki"/>
        <s v="Brak w katalogu"/>
        <m/>
      </sharedItems>
    </cacheField>
    <cacheField name="Cena_katalogowa" numFmtId="44">
      <sharedItems containsBlank="1" containsMixedTypes="1" containsNumber="1" containsInteger="1" minValue="6" maxValue="22"/>
    </cacheField>
    <cacheField name="Różnica_ceny" numFmtId="44">
      <sharedItems containsBlank="1" containsMixedTypes="1" containsNumber="1" minValue="-0.85000000000000142" maxValue="1.870000000000001"/>
    </cacheField>
    <cacheField name="Imię_Nazwisko" numFmtId="0">
      <sharedItems containsBlank="1"/>
    </cacheField>
    <cacheField name="Domena" numFmtId="0">
      <sharedItems containsBlank="1"/>
    </cacheField>
    <cacheField name="Inicjały" numFmtId="0">
      <sharedItems containsBlank="1"/>
    </cacheField>
    <cacheField name="Lokalizacja_ID" numFmtId="0">
      <sharedItems containsBlank="1"/>
    </cacheField>
    <cacheField name="Data_tekst" numFmtId="0">
      <sharedItems containsBlank="1"/>
    </cacheField>
    <cacheField name="Status" numFmtId="0">
      <sharedItems containsBlank="1"/>
    </cacheField>
    <cacheField name="Marża" numFmtId="9">
      <sharedItems containsMixedTypes="1" containsNumber="1" minValue="-4.9411764705882343E-2" maxValue="9.9000000000000019E-2" count="126">
        <n v="-1.3636363636363669E-2"/>
        <n v="8.3333333333333037E-3"/>
        <n v="4.9999999999999968E-2"/>
        <n v="9.9000000000000019E-2"/>
        <n v="-4.666666666666662E-2"/>
        <n v="7.1428571428569911E-4"/>
        <n v="5.3846153846154061E-3"/>
        <n v="-3.4999999999999996E-2"/>
        <n v="4.681818181818187E-2"/>
        <n v="8.2307692307692332E-2"/>
        <n v="-2.0000000000000018E-2"/>
        <n v="4.9333333333333347E-2"/>
        <n v="7.2500000000000009E-2"/>
        <n v="-8.1818181818181686E-3"/>
        <n v="-3.2272727272727314E-2"/>
        <n v="2.0000000000000059E-2"/>
        <n v="-2.8888888888888867E-2"/>
        <n v="0"/>
        <n v="6.5454545454545515E-2"/>
        <n v="5.3333333333333378E-2"/>
        <n v="3.6666666666666625E-2"/>
        <n v="8.8461538461538494E-2"/>
        <n v="1.3529411764705908E-2"/>
        <n v="-3.5000000000000017E-2"/>
        <n v="1.4000000000000058E-2"/>
        <n v="6.3846153846153858E-2"/>
        <n v="9.8888888888888957E-2"/>
        <n v="-3.7857142857142811E-2"/>
        <n v="9.1428571428571387E-2"/>
        <n v="4.4999999999999929E-2"/>
        <n v="-1.1249999999999982E-2"/>
        <n v="3.1818181818181949E-3"/>
        <n v="3.4375000000000044E-2"/>
        <n v="6.5294117647058794E-2"/>
        <n v="-3.1666666666666732E-2"/>
        <n v="9.6666666666666623E-2"/>
        <n v="9.4166666666666732E-2"/>
        <n v="4.33333333333333E-2"/>
        <n v="-1.0909090909090839E-2"/>
        <n v="7.5555555555555529E-2"/>
        <n v="5.4999999999999973E-2"/>
        <n v="4.1111111111111022E-2"/>
        <n v="8.6111111111111152E-2"/>
        <n v="8.4615384615384179E-3"/>
        <n v="-1.1111111111110875E-3"/>
        <n v="4.0588235294117724E-2"/>
        <n v="-1.9090909090909169E-2"/>
        <n v="7.2222222222222257E-2"/>
        <n v="4.8461538461538521E-2"/>
        <n v="6.5555555555555534E-2"/>
        <n v="7.7272727272727243E-2"/>
        <n v="2.9999999999999359E-3"/>
        <n v="2.5294117647058807E-2"/>
        <n v="1.9999999999999983E-2"/>
        <n v="6.0000000000000496E-3"/>
        <n v="8.1538461538461574E-2"/>
        <n v="-3.6363636363635587E-3"/>
        <n v="2.6666666666666689E-2"/>
        <n v="7.1428571428571425E-2"/>
        <n v="6.9374999999999964E-2"/>
        <n v="5.6666666666666643E-2"/>
        <n v="8.5833333333333275E-2"/>
        <n v="8.8888888888888976E-3"/>
        <n v="5.3636363636363621E-2"/>
        <n v="2.3636363636363619E-2"/>
        <n v="1.4090909090909032E-2"/>
        <n v="8.4166666666666654E-2"/>
        <n v="-6.4705882352940839E-3"/>
        <n v="5.5555555555555552E-2"/>
        <n v="4.7499999999999987E-2"/>
        <n v="5.3749999999999964E-2"/>
        <n v="5.2307692307692284E-2"/>
        <n v="8.5000000000000048E-2"/>
        <n v="5.5555555555556347E-3"/>
        <n v="6.1666666666666682E-2"/>
        <n v="8.1250000000000044E-2"/>
        <n v="2.7272727272726689E-3"/>
        <n v="-3.8636363636363698E-2"/>
        <e v="#N/A"/>
        <n v="-8.8888888888888976E-3"/>
        <n v="3.136363636363642E-2"/>
        <n v="-1.8235294117646985E-2"/>
        <n v="2.8750000000000053E-2"/>
        <n v="7.4444444444444438E-2"/>
        <n v="7.5882352941176415E-2"/>
        <n v="-1.6999999999999994E-2"/>
        <n v="5.2222222222222295E-2"/>
        <n v="1.6249999999999987E-2"/>
        <n v="2.0000000000000018E-2"/>
        <n v="9.1111111111111143E-2"/>
        <n v="2.2222222222221749E-3"/>
        <n v="-3.8571428571428513E-2"/>
        <n v="2.2222222222222143E-2"/>
        <n v="9.4615384615384643E-2"/>
        <n v="8.2500000000000018E-2"/>
        <n v="-1.272727272727278E-2"/>
        <n v="5.6250000000000022E-2"/>
        <n v="-1.5833333333333293E-2"/>
        <n v="-6.6666666666667217E-3"/>
        <n v="-1.3333333333333049E-3"/>
        <n v="-2.5555555555555602E-2"/>
        <n v="4.1538461538461476E-2"/>
        <n v="7.4999999999999956E-2"/>
        <n v="7.470588235294115E-2"/>
        <n v="6.2727272727272687E-2"/>
        <n v="3.1666666666666732E-2"/>
        <n v="0.09"/>
        <n v="3.5999999999999942E-2"/>
        <n v="1.1764705882352691E-3"/>
        <n v="2.4999999999999467E-3"/>
        <n v="2.7777777777777776E-2"/>
        <n v="-3.6153846153846203E-2"/>
        <n v="3.2222222222222124E-2"/>
        <n v="1.9411764705882253E-2"/>
        <n v="4.2222222222222307E-2"/>
        <n v="6.25E-2"/>
        <n v="4.4285714285714227E-2"/>
        <n v="-1.0000000000000024E-2"/>
        <n v="6.7777777777777715E-2"/>
        <n v="-2.6666666666666689E-2"/>
        <n v="8.4545454545454521E-2"/>
        <n v="-4.9411764705882343E-2"/>
        <n v="-1.5384615384615057E-3"/>
        <n v="2.8181818181818228E-2"/>
        <n v="7.3529411764705885E-2"/>
        <n v="6.8666666666666626E-2"/>
      </sharedItems>
    </cacheField>
    <cacheField name="Days (Data)" numFmtId="0" databaseField="0">
      <fieldGroup base="1">
        <rangePr groupBy="days" startDate="2024-01-06T00:00:00" endDate="2024-12-29T00:00:00"/>
        <groupItems count="368">
          <s v="&lt;06.01.2024"/>
          <s v="01.sty"/>
          <s v="02.sty"/>
          <s v="03.sty"/>
          <s v="04.sty"/>
          <s v="05.sty"/>
          <s v="06.sty"/>
          <s v="07.sty"/>
          <s v="08.sty"/>
          <s v="09.sty"/>
          <s v="10.sty"/>
          <s v="11.sty"/>
          <s v="12.sty"/>
          <s v="13.sty"/>
          <s v="14.sty"/>
          <s v="15.sty"/>
          <s v="16.sty"/>
          <s v="17.sty"/>
          <s v="18.sty"/>
          <s v="19.sty"/>
          <s v="20.sty"/>
          <s v="21.sty"/>
          <s v="22.sty"/>
          <s v="23.sty"/>
          <s v="24.sty"/>
          <s v="25.sty"/>
          <s v="26.sty"/>
          <s v="27.sty"/>
          <s v="28.sty"/>
          <s v="29.sty"/>
          <s v="30.sty"/>
          <s v="31.sty"/>
          <s v="01.lut"/>
          <s v="02.lut"/>
          <s v="03.lut"/>
          <s v="04.lut"/>
          <s v="05.lut"/>
          <s v="06.lut"/>
          <s v="07.lut"/>
          <s v="08.lut"/>
          <s v="09.lut"/>
          <s v="10.lut"/>
          <s v="11.lut"/>
          <s v="12.lut"/>
          <s v="13.lut"/>
          <s v="14.lut"/>
          <s v="15.lut"/>
          <s v="16.lut"/>
          <s v="17.lut"/>
          <s v="18.lut"/>
          <s v="19.lut"/>
          <s v="20.lut"/>
          <s v="21.lut"/>
          <s v="22.lut"/>
          <s v="23.lut"/>
          <s v="24.lut"/>
          <s v="25.lut"/>
          <s v="26.lut"/>
          <s v="27.lut"/>
          <s v="28.lut"/>
          <s v="29.lut"/>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kwi"/>
          <s v="02.kwi"/>
          <s v="03.kwi"/>
          <s v="04.kwi"/>
          <s v="05.kwi"/>
          <s v="06.kwi"/>
          <s v="07.kwi"/>
          <s v="08.kwi"/>
          <s v="09.kwi"/>
          <s v="10.kwi"/>
          <s v="11.kwi"/>
          <s v="12.kwi"/>
          <s v="13.kwi"/>
          <s v="14.kwi"/>
          <s v="15.kwi"/>
          <s v="16.kwi"/>
          <s v="17.kwi"/>
          <s v="18.kwi"/>
          <s v="19.kwi"/>
          <s v="20.kwi"/>
          <s v="21.kwi"/>
          <s v="22.kwi"/>
          <s v="23.kwi"/>
          <s v="24.kwi"/>
          <s v="25.kwi"/>
          <s v="26.kwi"/>
          <s v="27.kwi"/>
          <s v="28.kwi"/>
          <s v="29.kwi"/>
          <s v="30.kwi"/>
          <s v="01.maj"/>
          <s v="02.maj"/>
          <s v="03.maj"/>
          <s v="04.maj"/>
          <s v="05.maj"/>
          <s v="06.maj"/>
          <s v="07.maj"/>
          <s v="08.maj"/>
          <s v="09.maj"/>
          <s v="10.maj"/>
          <s v="11.maj"/>
          <s v="12.maj"/>
          <s v="13.maj"/>
          <s v="14.maj"/>
          <s v="15.maj"/>
          <s v="16.maj"/>
          <s v="17.maj"/>
          <s v="18.maj"/>
          <s v="19.maj"/>
          <s v="20.maj"/>
          <s v="21.maj"/>
          <s v="22.maj"/>
          <s v="23.maj"/>
          <s v="24.maj"/>
          <s v="25.maj"/>
          <s v="26.maj"/>
          <s v="27.maj"/>
          <s v="28.maj"/>
          <s v="29.maj"/>
          <s v="30.maj"/>
          <s v="31.maj"/>
          <s v="01.cze"/>
          <s v="02.cze"/>
          <s v="03.cze"/>
          <s v="04.cze"/>
          <s v="05.cze"/>
          <s v="06.cze"/>
          <s v="07.cze"/>
          <s v="08.cze"/>
          <s v="09.cze"/>
          <s v="10.cze"/>
          <s v="11.cze"/>
          <s v="12.cze"/>
          <s v="13.cze"/>
          <s v="14.cze"/>
          <s v="15.cze"/>
          <s v="16.cze"/>
          <s v="17.cze"/>
          <s v="18.cze"/>
          <s v="19.cze"/>
          <s v="20.cze"/>
          <s v="21.cze"/>
          <s v="22.cze"/>
          <s v="23.cze"/>
          <s v="24.cze"/>
          <s v="25.cze"/>
          <s v="26.cze"/>
          <s v="27.cze"/>
          <s v="28.cze"/>
          <s v="29.cze"/>
          <s v="30.cze"/>
          <s v="01.lip"/>
          <s v="02.lip"/>
          <s v="03.lip"/>
          <s v="04.lip"/>
          <s v="05.lip"/>
          <s v="06.lip"/>
          <s v="07.lip"/>
          <s v="08.lip"/>
          <s v="09.lip"/>
          <s v="10.lip"/>
          <s v="11.lip"/>
          <s v="12.lip"/>
          <s v="13.lip"/>
          <s v="14.lip"/>
          <s v="15.lip"/>
          <s v="16.lip"/>
          <s v="17.lip"/>
          <s v="18.lip"/>
          <s v="19.lip"/>
          <s v="20.lip"/>
          <s v="21.lip"/>
          <s v="22.lip"/>
          <s v="23.lip"/>
          <s v="24.lip"/>
          <s v="25.lip"/>
          <s v="26.lip"/>
          <s v="27.lip"/>
          <s v="28.lip"/>
          <s v="29.lip"/>
          <s v="30.lip"/>
          <s v="31.lip"/>
          <s v="01.sie"/>
          <s v="02.sie"/>
          <s v="03.sie"/>
          <s v="04.sie"/>
          <s v="05.sie"/>
          <s v="06.sie"/>
          <s v="07.sie"/>
          <s v="08.sie"/>
          <s v="09.sie"/>
          <s v="10.sie"/>
          <s v="11.sie"/>
          <s v="12.sie"/>
          <s v="13.sie"/>
          <s v="14.sie"/>
          <s v="15.sie"/>
          <s v="16.sie"/>
          <s v="17.sie"/>
          <s v="18.sie"/>
          <s v="19.sie"/>
          <s v="20.sie"/>
          <s v="21.sie"/>
          <s v="22.sie"/>
          <s v="23.sie"/>
          <s v="24.sie"/>
          <s v="25.sie"/>
          <s v="26.sie"/>
          <s v="27.sie"/>
          <s v="28.sie"/>
          <s v="29.sie"/>
          <s v="30.sie"/>
          <s v="31.sie"/>
          <s v="01.wrz"/>
          <s v="02.wrz"/>
          <s v="03.wrz"/>
          <s v="04.wrz"/>
          <s v="05.wrz"/>
          <s v="06.wrz"/>
          <s v="07.wrz"/>
          <s v="08.wrz"/>
          <s v="09.wrz"/>
          <s v="10.wrz"/>
          <s v="11.wrz"/>
          <s v="12.wrz"/>
          <s v="13.wrz"/>
          <s v="14.wrz"/>
          <s v="15.wrz"/>
          <s v="16.wrz"/>
          <s v="17.wrz"/>
          <s v="18.wrz"/>
          <s v="19.wrz"/>
          <s v="20.wrz"/>
          <s v="21.wrz"/>
          <s v="22.wrz"/>
          <s v="23.wrz"/>
          <s v="24.wrz"/>
          <s v="25.wrz"/>
          <s v="26.wrz"/>
          <s v="27.wrz"/>
          <s v="28.wrz"/>
          <s v="29.wrz"/>
          <s v="30.wrz"/>
          <s v="01.paź"/>
          <s v="02.paź"/>
          <s v="03.paź"/>
          <s v="04.paź"/>
          <s v="05.paź"/>
          <s v="06.paź"/>
          <s v="07.paź"/>
          <s v="08.paź"/>
          <s v="09.paź"/>
          <s v="10.paź"/>
          <s v="11.paź"/>
          <s v="12.paź"/>
          <s v="13.paź"/>
          <s v="14.paź"/>
          <s v="15.paź"/>
          <s v="16.paź"/>
          <s v="17.paź"/>
          <s v="18.paź"/>
          <s v="19.paź"/>
          <s v="20.paź"/>
          <s v="21.paź"/>
          <s v="22.paź"/>
          <s v="23.paź"/>
          <s v="24.paź"/>
          <s v="25.paź"/>
          <s v="26.paź"/>
          <s v="27.paź"/>
          <s v="28.paź"/>
          <s v="29.paź"/>
          <s v="30.paź"/>
          <s v="31.paź"/>
          <s v="01.lis"/>
          <s v="02.lis"/>
          <s v="03.lis"/>
          <s v="04.lis"/>
          <s v="05.lis"/>
          <s v="06.lis"/>
          <s v="07.lis"/>
          <s v="08.lis"/>
          <s v="09.lis"/>
          <s v="10.lis"/>
          <s v="11.lis"/>
          <s v="12.lis"/>
          <s v="13.lis"/>
          <s v="14.lis"/>
          <s v="15.lis"/>
          <s v="16.lis"/>
          <s v="17.lis"/>
          <s v="18.lis"/>
          <s v="19.lis"/>
          <s v="20.lis"/>
          <s v="21.lis"/>
          <s v="22.lis"/>
          <s v="23.lis"/>
          <s v="24.lis"/>
          <s v="25.lis"/>
          <s v="26.lis"/>
          <s v="27.lis"/>
          <s v="28.lis"/>
          <s v="29.lis"/>
          <s v="30.lis"/>
          <s v="01.gru"/>
          <s v="02.gru"/>
          <s v="03.gru"/>
          <s v="04.gru"/>
          <s v="05.gru"/>
          <s v="06.gru"/>
          <s v="07.gru"/>
          <s v="08.gru"/>
          <s v="09.gru"/>
          <s v="10.gru"/>
          <s v="11.gru"/>
          <s v="12.gru"/>
          <s v="13.gru"/>
          <s v="14.gru"/>
          <s v="15.gru"/>
          <s v="16.gru"/>
          <s v="17.gru"/>
          <s v="18.gru"/>
          <s v="19.gru"/>
          <s v="20.gru"/>
          <s v="21.gru"/>
          <s v="22.gru"/>
          <s v="23.gru"/>
          <s v="24.gru"/>
          <s v="25.gru"/>
          <s v="26.gru"/>
          <s v="27.gru"/>
          <s v="28.gru"/>
          <s v="29.gru"/>
          <s v="30.gru"/>
          <s v="31.gru"/>
          <s v="&gt;29.12.2024"/>
        </groupItems>
      </fieldGroup>
    </cacheField>
    <cacheField name="Months (Data)" numFmtId="0" databaseField="0">
      <fieldGroup base="1">
        <rangePr groupBy="months" startDate="2024-01-06T00:00:00" endDate="2024-12-29T00:00:00"/>
        <groupItems count="14">
          <s v="&lt;06.01.2024"/>
          <s v="sty"/>
          <s v="lut"/>
          <s v="mar"/>
          <s v="kwi"/>
          <s v="maj"/>
          <s v="cze"/>
          <s v="lip"/>
          <s v="sie"/>
          <s v="wrz"/>
          <s v="paź"/>
          <s v="lis"/>
          <s v="gru"/>
          <s v="&gt;29.12.2024"/>
        </groupItems>
      </fieldGroup>
    </cacheField>
    <cacheField name="Field1" numFmtId="0" formula=" 0" databaseField="0"/>
    <cacheField name="Srednia_cena_za_sztuke" numFmtId="0" formula="Przychod/Ilosc" databaseField="0"/>
  </cacheFields>
  <extLst>
    <ext xmlns:x14="http://schemas.microsoft.com/office/spreadsheetml/2009/9/main" uri="{725AE2AE-9491-48be-B2B4-4EB974FC3084}">
      <x14:pivotCacheDefinition pivotCacheId="9457074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s v="C0001"/>
    <x v="0"/>
    <x v="0"/>
    <s v="natalia krawczyk  "/>
    <s v="natalia.krawczyk@kawiarnia.pl "/>
    <s v="K004"/>
    <n v="3"/>
    <n v="11.15"/>
    <x v="0"/>
    <s v="L132"/>
    <s v="W realizacji "/>
    <s v="Standardowe"/>
    <s v="Niski"/>
    <s v="Americano"/>
    <x v="0"/>
    <n v="11"/>
    <n v="-0.15000000000000036"/>
    <s v="Natalia Krawczyk"/>
    <s v="kawiarnia.pl "/>
    <s v="N.K"/>
    <s v="Poznań-K004"/>
    <s v="25-07-2024"/>
    <s v="w realizacji"/>
    <x v="0"/>
  </r>
  <r>
    <s v="C0002"/>
    <x v="1"/>
    <x v="1"/>
    <s v="ALEKSANDRA KOWAL"/>
    <s v="aleksandra.kowal@kawiarnia.pl "/>
    <s v="K007"/>
    <n v="12"/>
    <n v="11.9"/>
    <x v="1"/>
    <s v="L127"/>
    <s v="Zakonczone"/>
    <s v="Duże zamówienie"/>
    <s v="Niski"/>
    <s v="Lemoniada"/>
    <x v="1"/>
    <n v="12"/>
    <n v="9.9999999999999645E-2"/>
    <s v="Aleksandra Kowal"/>
    <s v="kawiarnia.pl "/>
    <s v="A.K"/>
    <s v="Gdańsk-K007"/>
    <s v="15-07-2024"/>
    <s v="zakonczone"/>
    <x v="1"/>
  </r>
  <r>
    <s v="C0003"/>
    <x v="2"/>
    <x v="2"/>
    <s v="  Bartosz Zajac"/>
    <s v="bartosz.zajac@KAWIARNIA.PL"/>
    <s v="K014"/>
    <n v="10"/>
    <n v="5.7"/>
    <x v="2"/>
    <s v="L191"/>
    <s v="Zakonczone"/>
    <s v="Duże zamówienie"/>
    <s v="Średni"/>
    <s v="Batonik musli"/>
    <x v="2"/>
    <n v="6"/>
    <n v="0.29999999999999982"/>
    <s v="Bartosz Zajac"/>
    <s v="kawiarnia.pl"/>
    <s v="B.Z"/>
    <s v="Kraków-K014"/>
    <s v="17-07-2024"/>
    <s v="zakonczone"/>
    <x v="2"/>
  </r>
  <r>
    <s v="C0004"/>
    <x v="3"/>
    <x v="3"/>
    <s v="Weronika Duda "/>
    <s v="weronika.duda@KAWIARNIA.PL"/>
    <s v="K005"/>
    <n v="9"/>
    <n v="9.01"/>
    <x v="3"/>
    <s v="L126"/>
    <s v="Zakonczone"/>
    <s v="Duże zamówienie"/>
    <s v="Wysoki"/>
    <s v="Herbata liściasta"/>
    <x v="0"/>
    <n v="10"/>
    <n v="0.99000000000000021"/>
    <s v="Weronika Duda"/>
    <s v="kawiarnia.pl"/>
    <s v="W.D"/>
    <s v="Warszawa-K005"/>
    <s v="12-12-2024"/>
    <s v="zakonczone"/>
    <x v="3"/>
  </r>
  <r>
    <s v="C0005"/>
    <x v="4"/>
    <x v="3"/>
    <s v="Weronika Duda "/>
    <s v="weronika.duda@kawiarnia.pl "/>
    <s v="K010"/>
    <n v="8"/>
    <n v="15.7"/>
    <x v="4"/>
    <s v="L145"/>
    <s v="W REALIZACJI"/>
    <s v="Duże zamówienie"/>
    <s v="Wysoki"/>
    <s v="Sernik"/>
    <x v="3"/>
    <n v="15"/>
    <n v="-0.69999999999999929"/>
    <s v="Weronika Duda"/>
    <s v="kawiarnia.pl "/>
    <s v="W.D"/>
    <s v="Warszawa-K010"/>
    <s v="30-09-2024"/>
    <s v="w realizacji"/>
    <x v="4"/>
  </r>
  <r>
    <s v="C0006"/>
    <x v="5"/>
    <x v="2"/>
    <s v="Weronika Duda "/>
    <s v="weronika.duda@kawiarnia.pl "/>
    <s v="K003"/>
    <n v="9"/>
    <n v="13.99"/>
    <x v="5"/>
    <s v="L104"/>
    <s v="nowe"/>
    <s v="Duże zamówienie"/>
    <s v="Średni"/>
    <s v="Latte"/>
    <x v="0"/>
    <n v="14"/>
    <n v="9.9999999999997868E-3"/>
    <s v="Weronika Duda"/>
    <s v="kawiarnia.pl "/>
    <s v="W.D"/>
    <s v="Kraków-K003"/>
    <s v="20-04-2024"/>
    <s v="nowe"/>
    <x v="5"/>
  </r>
  <r>
    <s v="C0007"/>
    <x v="6"/>
    <x v="2"/>
    <s v="Weronika Duda "/>
    <s v="weronika.duda@kawiarnia.pl "/>
    <s v="K002"/>
    <n v="7"/>
    <n v="12.93"/>
    <x v="6"/>
    <s v="L118"/>
    <s v="Zakonczone"/>
    <s v="Duże zamówienie"/>
    <s v="Średni"/>
    <s v="Cappuccino"/>
    <x v="0"/>
    <n v="13"/>
    <n v="7.0000000000000284E-2"/>
    <s v="Weronika Duda"/>
    <s v="kawiarnia.pl "/>
    <s v="W.D"/>
    <s v="Kraków-K002"/>
    <s v="12-01-2024"/>
    <s v="zakonczone"/>
    <x v="6"/>
  </r>
  <r>
    <s v="C0008"/>
    <x v="7"/>
    <x v="3"/>
    <s v="Kamil WOZNIAK"/>
    <s v="kamil.wozniak@KAWIARNIA.PL"/>
    <s v="K007"/>
    <n v="4"/>
    <n v="12.42"/>
    <x v="7"/>
    <s v="L107"/>
    <s v="W realizacji "/>
    <s v="Standardowe"/>
    <s v="Średni"/>
    <s v="Lemoniada"/>
    <x v="1"/>
    <n v="12"/>
    <n v="-0.41999999999999993"/>
    <s v="Kamil Wozniak"/>
    <s v="kawiarnia.pl"/>
    <s v="K.W"/>
    <s v="Warszawa-K007"/>
    <s v="12-11-2024"/>
    <s v="w realizacji"/>
    <x v="7"/>
  </r>
  <r>
    <s v="C0009"/>
    <x v="8"/>
    <x v="0"/>
    <s v="PAWEL  Mazur"/>
    <s v="pawel.mazur@kawiarnia.pl "/>
    <s v="K013"/>
    <n v="3"/>
    <n v="20.97"/>
    <x v="8"/>
    <s v="L188"/>
    <s v="  nowe  "/>
    <s v="Standardowe"/>
    <s v="Niski"/>
    <s v="Sałatka Cesar"/>
    <x v="2"/>
    <n v="22"/>
    <n v="1.0300000000000011"/>
    <s v="Pawel Mazur"/>
    <s v="kawiarnia.pl "/>
    <s v="P.M"/>
    <s v="Poznań-K013"/>
    <s v="18-04-2024"/>
    <s v="nowe"/>
    <x v="8"/>
  </r>
  <r>
    <s v="C0010"/>
    <x v="9"/>
    <x v="2"/>
    <s v="  Bartosz Zajac"/>
    <s v="bartosz.zajac@kawiarnia.pl "/>
    <s v="K002"/>
    <n v="2"/>
    <n v="11.93"/>
    <x v="9"/>
    <s v="L137"/>
    <s v="W REALIZACJI"/>
    <s v="Standardowe"/>
    <s v="Średni"/>
    <s v="Cappuccino"/>
    <x v="0"/>
    <n v="13"/>
    <n v="1.0700000000000003"/>
    <s v="Bartosz Zajac"/>
    <s v="kawiarnia.pl "/>
    <s v="B.Z"/>
    <s v="Kraków-K002"/>
    <s v="29-01-2024"/>
    <s v="w realizacji"/>
    <x v="9"/>
  </r>
  <r>
    <s v="C0011"/>
    <x v="10"/>
    <x v="0"/>
    <s v="  Bartosz Zajac"/>
    <s v="bartosz.zajac@KAWIARNIA.PL"/>
    <s v="K006"/>
    <n v="8"/>
    <n v="16.32"/>
    <x v="10"/>
    <s v="L132"/>
    <s v="nowe"/>
    <s v="Duże zamówienie"/>
    <s v="Niski"/>
    <s v="Mrożona kawa"/>
    <x v="1"/>
    <n v="16"/>
    <n v="-0.32000000000000028"/>
    <s v="Bartosz Zajac"/>
    <s v="kawiarnia.pl"/>
    <s v="B.Z"/>
    <s v="Poznań-K006"/>
    <s v="31-03-2024"/>
    <s v="nowe"/>
    <x v="10"/>
  </r>
  <r>
    <s v="C0012"/>
    <x v="11"/>
    <x v="2"/>
    <s v="ALEKSANDRA KOWAL"/>
    <s v="aleksandra.kowal@kawiarnia.pl "/>
    <s v="K010"/>
    <n v="1"/>
    <n v="14.26"/>
    <x v="11"/>
    <s v="L148"/>
    <s v="  nowe  "/>
    <s v="Standardowe"/>
    <s v="Średni"/>
    <s v="Sernik"/>
    <x v="3"/>
    <n v="15"/>
    <n v="0.74000000000000021"/>
    <s v="Aleksandra Kowal"/>
    <s v="kawiarnia.pl "/>
    <s v="A.K"/>
    <s v="Kraków-K010"/>
    <s v="04-07-2024"/>
    <s v="nowe"/>
    <x v="11"/>
  </r>
  <r>
    <s v="C0013"/>
    <x v="12"/>
    <x v="0"/>
    <s v="Kamil WOZNIAK"/>
    <s v="kamil.wozniak@KAWIARNIA.PL"/>
    <s v="K009"/>
    <n v="2"/>
    <n v="7.42"/>
    <x v="12"/>
    <s v="L104"/>
    <s v="Zakonczone"/>
    <s v="Standardowe"/>
    <s v="Niski"/>
    <s v="Croissant"/>
    <x v="3"/>
    <n v="8"/>
    <n v="0.58000000000000007"/>
    <s v="Kamil Wozniak"/>
    <s v="kawiarnia.pl"/>
    <s v="K.W"/>
    <s v="Poznań-K009"/>
    <s v="21-06-2024"/>
    <s v="zakonczone"/>
    <x v="12"/>
  </r>
  <r>
    <s v="C0014"/>
    <x v="13"/>
    <x v="0"/>
    <s v="natalia krawczyk  "/>
    <s v="natalia.krawczyk@KAWIARNIA.PL"/>
    <s v="K004"/>
    <n v="11"/>
    <n v="11.09"/>
    <x v="13"/>
    <s v="L113"/>
    <s v="W realizacji "/>
    <s v="Duże zamówienie"/>
    <s v="Niski"/>
    <s v="Americano"/>
    <x v="0"/>
    <n v="11"/>
    <n v="-8.9999999999999858E-2"/>
    <s v="Natalia Krawczyk"/>
    <s v="kawiarnia.pl"/>
    <s v="N.K"/>
    <s v="Poznań-K004"/>
    <s v="23-07-2024"/>
    <s v="w realizacji"/>
    <x v="13"/>
  </r>
  <r>
    <s v="C0015"/>
    <x v="14"/>
    <x v="2"/>
    <s v="natalia krawczyk  "/>
    <s v="natalia.krawczyk@KAWIARNIA.PL"/>
    <s v="K013"/>
    <n v="2"/>
    <n v="22.71"/>
    <x v="14"/>
    <s v="L153"/>
    <s v="Zakonczone"/>
    <s v="Standardowe"/>
    <s v="Średni"/>
    <s v="Sałatka Cesar"/>
    <x v="2"/>
    <n v="22"/>
    <n v="-0.71000000000000085"/>
    <s v="Natalia Krawczyk"/>
    <s v="kawiarnia.pl"/>
    <s v="N.K"/>
    <s v="Kraków-K013"/>
    <s v="09-06-2024"/>
    <s v="zakonczone"/>
    <x v="14"/>
  </r>
  <r>
    <s v="C0016"/>
    <x v="15"/>
    <x v="1"/>
    <s v="PAWEL  Mazur"/>
    <s v="pawel.mazur@kawiarnia.pl "/>
    <s v="K013"/>
    <n v="8"/>
    <n v="21.56"/>
    <x v="15"/>
    <s v="L132"/>
    <s v="  nowe  "/>
    <s v="Duże zamówienie"/>
    <s v="Niski"/>
    <s v="Sałatka Cesar"/>
    <x v="2"/>
    <n v="22"/>
    <n v="0.44000000000000128"/>
    <s v="Pawel Mazur"/>
    <s v="kawiarnia.pl "/>
    <s v="P.M"/>
    <s v="Gdańsk-K013"/>
    <s v="05-02-2024"/>
    <s v="nowe"/>
    <x v="15"/>
  </r>
  <r>
    <s v="C0017"/>
    <x v="16"/>
    <x v="0"/>
    <s v="  Bartosz Zajac"/>
    <s v="bartosz.zajac@KAWIARNIA.PL"/>
    <s v="K011"/>
    <n v="10"/>
    <n v="9.26"/>
    <x v="16"/>
    <s v="L179"/>
    <s v="W realizacji "/>
    <s v="Duże zamówienie"/>
    <s v="Niski"/>
    <s v="Muffin czekoladowy"/>
    <x v="3"/>
    <n v="9"/>
    <n v="-0.25999999999999979"/>
    <s v="Bartosz Zajac"/>
    <s v="kawiarnia.pl"/>
    <s v="B.Z"/>
    <s v="Poznań-K011"/>
    <s v="28-05-2024"/>
    <s v="w realizacji"/>
    <x v="16"/>
  </r>
  <r>
    <s v="C0018"/>
    <x v="17"/>
    <x v="2"/>
    <s v="Kamil WOZNIAK"/>
    <s v="kamil.wozniak@KAWIARNIA.PL"/>
    <s v="K006"/>
    <n v="1"/>
    <n v="16"/>
    <x v="17"/>
    <s v="L188"/>
    <s v="Zakonczone"/>
    <s v="Standardowe"/>
    <s v="Średni"/>
    <s v="Mrożona kawa"/>
    <x v="1"/>
    <n v="16"/>
    <n v="0"/>
    <s v="Kamil Wozniak"/>
    <s v="kawiarnia.pl"/>
    <s v="K.W"/>
    <s v="Kraków-K006"/>
    <s v="13-08-2024"/>
    <s v="zakonczone"/>
    <x v="17"/>
  </r>
  <r>
    <s v="C0019"/>
    <x v="18"/>
    <x v="2"/>
    <s v="PAWEL  Mazur"/>
    <s v="pawel.mazur@kawiarnia.pl "/>
    <s v="K013"/>
    <n v="12"/>
    <n v="20.56"/>
    <x v="18"/>
    <s v="L144"/>
    <s v="W realizacji "/>
    <s v="Duże zamówienie"/>
    <s v="Średni"/>
    <s v="Sałatka Cesar"/>
    <x v="2"/>
    <n v="22"/>
    <n v="1.4400000000000013"/>
    <s v="Pawel Mazur"/>
    <s v="kawiarnia.pl "/>
    <s v="P.M"/>
    <s v="Kraków-K013"/>
    <s v="08-04-2024"/>
    <s v="w realizacji"/>
    <x v="18"/>
  </r>
  <r>
    <s v="C0020"/>
    <x v="13"/>
    <x v="3"/>
    <s v="ALEKSANDRA KOWAL"/>
    <s v="aleksandra.kowal@kawiarnia.pl "/>
    <s v="K001"/>
    <n v="9"/>
    <n v="8.52"/>
    <x v="19"/>
    <s v="L186"/>
    <s v="W realizacji "/>
    <s v="Duże zamówienie"/>
    <s v="Wysoki"/>
    <s v="Espresso"/>
    <x v="0"/>
    <n v="9"/>
    <n v="0.48000000000000043"/>
    <s v="Aleksandra Kowal"/>
    <s v="kawiarnia.pl "/>
    <s v="A.K"/>
    <s v="Warszawa-K001"/>
    <s v="23-07-2024"/>
    <s v="w realizacji"/>
    <x v="19"/>
  </r>
  <r>
    <s v="C0021"/>
    <x v="19"/>
    <x v="1"/>
    <s v="Weronika Duda "/>
    <s v="weronika.duda@KAWIARNIA.PL"/>
    <s v="K014"/>
    <n v="12"/>
    <n v="5.78"/>
    <x v="20"/>
    <s v="L171"/>
    <s v="Zakonczone"/>
    <s v="Duże zamówienie"/>
    <s v="Niski"/>
    <s v="Batonik musli"/>
    <x v="2"/>
    <n v="6"/>
    <n v="0.21999999999999975"/>
    <s v="Weronika Duda"/>
    <s v="kawiarnia.pl"/>
    <s v="W.D"/>
    <s v="Gdańsk-K014"/>
    <s v="26-03-2024"/>
    <s v="zakonczone"/>
    <x v="20"/>
  </r>
  <r>
    <s v="C0022"/>
    <x v="20"/>
    <x v="1"/>
    <s v="PAWEL  Mazur"/>
    <s v="pawel.mazur@kawiarnia.pl"/>
    <s v="K002"/>
    <n v="5"/>
    <n v="11.85"/>
    <x v="21"/>
    <s v="L104"/>
    <s v="nowe"/>
    <s v="Standardowe"/>
    <s v="Niski"/>
    <s v="Cappuccino"/>
    <x v="0"/>
    <n v="13"/>
    <n v="1.1500000000000004"/>
    <s v="Pawel Mazur"/>
    <s v="kawiarnia.pl"/>
    <s v="P.M"/>
    <s v="Gdańsk-K002"/>
    <s v="16-11-2024"/>
    <s v="nowe"/>
    <x v="21"/>
  </r>
  <r>
    <s v="C0023"/>
    <x v="21"/>
    <x v="4"/>
    <s v="  julia jankowska"/>
    <s v="julia.jankowska@kawiarnia.pl "/>
    <s v="K012"/>
    <n v="10"/>
    <n v="16.77"/>
    <x v="22"/>
    <s v="L124"/>
    <s v="nowe"/>
    <s v="Duże zamówienie"/>
    <s v="Niski"/>
    <s v="Bagietka z szynką"/>
    <x v="2"/>
    <n v="17"/>
    <n v="0.23000000000000043"/>
    <s v="Julia Jankowska"/>
    <s v="kawiarnia.pl "/>
    <s v="J.J"/>
    <s v="Wrocław-K012"/>
    <s v="01-08-2024"/>
    <s v="nowe"/>
    <x v="22"/>
  </r>
  <r>
    <s v="C0024"/>
    <x v="22"/>
    <x v="0"/>
    <s v="  Bartosz Zajac"/>
    <s v="bartosz.zajac@KAWIARNIA.PL"/>
    <s v="K003"/>
    <n v="3"/>
    <n v="14.49"/>
    <x v="23"/>
    <s v="L188"/>
    <s v="W realizacji "/>
    <s v="Standardowe"/>
    <s v="Niski"/>
    <s v="Latte"/>
    <x v="0"/>
    <n v="14"/>
    <n v="-0.49000000000000021"/>
    <s v="Bartosz Zajac"/>
    <s v="kawiarnia.pl"/>
    <s v="B.Z"/>
    <s v="Poznań-K003"/>
    <s v="21-07-2024"/>
    <s v="w realizacji"/>
    <x v="23"/>
  </r>
  <r>
    <s v="C0025"/>
    <x v="23"/>
    <x v="0"/>
    <s v="  Bartosz Zajac"/>
    <s v="bartosz.zajac@KAWIARNIA.PL"/>
    <s v="K005"/>
    <n v="8"/>
    <n v="9.86"/>
    <x v="24"/>
    <s v="L189"/>
    <s v="  nowe  "/>
    <s v="Duże zamówienie"/>
    <s v="Niski"/>
    <s v="Herbata liściasta"/>
    <x v="0"/>
    <n v="10"/>
    <n v="0.14000000000000057"/>
    <s v="Bartosz Zajac"/>
    <s v="kawiarnia.pl"/>
    <s v="B.Z"/>
    <s v="Poznań-K005"/>
    <s v="18-07-2024"/>
    <s v="nowe"/>
    <x v="24"/>
  </r>
  <r>
    <s v="C0026"/>
    <x v="24"/>
    <x v="0"/>
    <s v="Weronika Duda "/>
    <s v="weronika.duda@kawiarnia.pl "/>
    <s v="K002"/>
    <n v="9"/>
    <n v="12.17"/>
    <x v="25"/>
    <s v="L158"/>
    <s v="Zakonczone"/>
    <s v="Duże zamówienie"/>
    <s v="Niski"/>
    <s v="Cappuccino"/>
    <x v="0"/>
    <n v="13"/>
    <n v="0.83000000000000007"/>
    <s v="Weronika Duda"/>
    <s v="kawiarnia.pl "/>
    <s v="W.D"/>
    <s v="Poznań-K002"/>
    <s v="04-04-2024"/>
    <s v="zakonczone"/>
    <x v="25"/>
  </r>
  <r>
    <s v="C0027"/>
    <x v="25"/>
    <x v="3"/>
    <s v="  julia jankowska"/>
    <s v="julia.jankowska@KAWIARNIA.PL"/>
    <s v="K011"/>
    <n v="12"/>
    <n v="8.11"/>
    <x v="26"/>
    <s v="L187"/>
    <s v="Zakonczone"/>
    <s v="Duże zamówienie"/>
    <s v="Wysoki"/>
    <s v="Muffin czekoladowy"/>
    <x v="3"/>
    <n v="9"/>
    <n v="0.89000000000000057"/>
    <s v="Julia Jankowska"/>
    <s v="kawiarnia.pl"/>
    <s v="J.J"/>
    <s v="Warszawa-K011"/>
    <s v="08-01-2024"/>
    <s v="zakonczone"/>
    <x v="26"/>
  </r>
  <r>
    <s v="C0028"/>
    <x v="26"/>
    <x v="3"/>
    <s v="  julia jankowska"/>
    <s v="julia.jankowska@KAWIARNIA.PL"/>
    <s v="K003"/>
    <n v="10"/>
    <n v="14.53"/>
    <x v="27"/>
    <s v="L150"/>
    <s v="nowe"/>
    <s v="Duże zamówienie"/>
    <s v="Wysoki"/>
    <s v="Latte"/>
    <x v="0"/>
    <n v="14"/>
    <n v="-0.52999999999999936"/>
    <s v="Julia Jankowska"/>
    <s v="kawiarnia.pl"/>
    <s v="J.J"/>
    <s v="Warszawa-K003"/>
    <s v="20-05-2024"/>
    <s v="nowe"/>
    <x v="27"/>
  </r>
  <r>
    <s v="C0029"/>
    <x v="27"/>
    <x v="4"/>
    <s v="natalia krawczyk  "/>
    <s v="natalia.krawczyk@kawiarnia.pl "/>
    <s v="K003"/>
    <n v="8"/>
    <n v="12.72"/>
    <x v="28"/>
    <s v="L199"/>
    <s v="  nowe  "/>
    <s v="Duże zamówienie"/>
    <s v="Niski"/>
    <s v="Latte"/>
    <x v="0"/>
    <n v="14"/>
    <n v="1.2799999999999994"/>
    <s v="Natalia Krawczyk"/>
    <s v="kawiarnia.pl "/>
    <s v="N.K"/>
    <s v="Wrocław-K003"/>
    <s v="25-01-2024"/>
    <s v="nowe"/>
    <x v="28"/>
  </r>
  <r>
    <s v="C0030"/>
    <x v="28"/>
    <x v="2"/>
    <s v="ALEKSANDRA KOWAL"/>
    <s v="aleksandra.kowal@KAWIARNIA.PL"/>
    <s v="K005"/>
    <n v="11"/>
    <n v="9.5500000000000007"/>
    <x v="29"/>
    <s v="L171"/>
    <s v="W REALIZACJI"/>
    <s v="Duże zamówienie"/>
    <s v="Średni"/>
    <s v="Herbata liściasta"/>
    <x v="0"/>
    <n v="10"/>
    <n v="0.44999999999999929"/>
    <s v="Aleksandra Kowal"/>
    <s v="kawiarnia.pl"/>
    <s v="A.K"/>
    <s v="Kraków-K005"/>
    <s v="27-04-2024"/>
    <s v="w realizacji"/>
    <x v="29"/>
  </r>
  <r>
    <s v="C0031"/>
    <x v="29"/>
    <x v="2"/>
    <s v="  julia jankowska"/>
    <s v="julia.jankowska@kawiarnia.pl "/>
    <s v="K009"/>
    <n v="2"/>
    <n v="8.09"/>
    <x v="30"/>
    <s v="L114"/>
    <s v="W realizacji "/>
    <s v="Standardowe"/>
    <s v="Średni"/>
    <s v="Croissant"/>
    <x v="3"/>
    <n v="8"/>
    <n v="-8.9999999999999858E-2"/>
    <s v="Julia Jankowska"/>
    <s v="kawiarnia.pl "/>
    <s v="J.J"/>
    <s v="Kraków-K009"/>
    <s v="13-10-2024"/>
    <s v="w realizacji"/>
    <x v="30"/>
  </r>
  <r>
    <s v="C0032"/>
    <x v="30"/>
    <x v="2"/>
    <s v="  Bartosz Zajac"/>
    <s v="bartosz.zajac@kawiarnia.pl "/>
    <s v="K013"/>
    <n v="9"/>
    <n v="21.93"/>
    <x v="31"/>
    <s v="L121"/>
    <s v="Zakonczone"/>
    <s v="Duże zamówienie"/>
    <s v="Średni"/>
    <s v="Sałatka Cesar"/>
    <x v="2"/>
    <n v="22"/>
    <n v="7.0000000000000284E-2"/>
    <s v="Bartosz Zajac"/>
    <s v="kawiarnia.pl "/>
    <s v="B.Z"/>
    <s v="Kraków-K013"/>
    <s v="05-03-2024"/>
    <s v="zakonczone"/>
    <x v="31"/>
  </r>
  <r>
    <s v="C0033"/>
    <x v="31"/>
    <x v="1"/>
    <s v="  Bartosz Zajac"/>
    <s v="bartosz.zajac@KAWIARNIA.PL"/>
    <s v="K006"/>
    <n v="11"/>
    <n v="15.45"/>
    <x v="32"/>
    <s v="L139"/>
    <s v="W REALIZACJI"/>
    <s v="Duże zamówienie"/>
    <s v="Niski"/>
    <s v="Mrożona kawa"/>
    <x v="1"/>
    <n v="16"/>
    <n v="0.55000000000000071"/>
    <s v="Bartosz Zajac"/>
    <s v="kawiarnia.pl"/>
    <s v="B.Z"/>
    <s v="Gdańsk-K006"/>
    <s v="28-04-2024"/>
    <s v="w realizacji"/>
    <x v="32"/>
  </r>
  <r>
    <s v="C0034"/>
    <x v="32"/>
    <x v="2"/>
    <s v="Weronika Duda "/>
    <s v="weronika.duda@kawiarnia.pl "/>
    <s v="K012"/>
    <n v="1"/>
    <n v="15.89"/>
    <x v="33"/>
    <s v="L187"/>
    <s v="nowe"/>
    <s v="Standardowe"/>
    <s v="Średni"/>
    <s v="Bagietka z szynką"/>
    <x v="2"/>
    <n v="17"/>
    <n v="1.1099999999999994"/>
    <s v="Weronika Duda"/>
    <s v="kawiarnia.pl "/>
    <s v="W.D"/>
    <s v="Kraków-K012"/>
    <s v="26-02-2024"/>
    <s v="nowe"/>
    <x v="33"/>
  </r>
  <r>
    <s v="C0035"/>
    <x v="33"/>
    <x v="1"/>
    <s v="Weronika Duda "/>
    <s v="weronika.duda@kawiarnia.pl "/>
    <s v="K014"/>
    <n v="2"/>
    <n v="6.19"/>
    <x v="34"/>
    <s v="L120"/>
    <s v="W REALIZACJI"/>
    <s v="Standardowe"/>
    <s v="Niski"/>
    <s v="Batonik musli"/>
    <x v="2"/>
    <n v="6"/>
    <n v="-0.19000000000000039"/>
    <s v="Weronika Duda"/>
    <s v="kawiarnia.pl "/>
    <s v="W.D"/>
    <s v="Gdańsk-K014"/>
    <s v="30-04-2024"/>
    <s v="w realizacji"/>
    <x v="34"/>
  </r>
  <r>
    <s v="C0036"/>
    <x v="34"/>
    <x v="4"/>
    <s v="PAWEL  Mazur"/>
    <s v="pawel.mazur@kawiarnia.pl"/>
    <s v="K010"/>
    <n v="7"/>
    <n v="13.55"/>
    <x v="35"/>
    <s v="L120"/>
    <s v="W REALIZACJI"/>
    <s v="Duże zamówienie"/>
    <s v="Niski"/>
    <s v="Sernik"/>
    <x v="3"/>
    <n v="15"/>
    <n v="1.4499999999999993"/>
    <s v="Pawel Mazur"/>
    <s v="kawiarnia.pl"/>
    <s v="P.M"/>
    <s v="Wrocław-K010"/>
    <s v="15-08-2024"/>
    <s v="w realizacji"/>
    <x v="35"/>
  </r>
  <r>
    <s v="C0037"/>
    <x v="35"/>
    <x v="4"/>
    <s v="PAWEL  Mazur"/>
    <s v="pawel.mazur@kawiarnia.pl"/>
    <s v="K007"/>
    <n v="2"/>
    <n v="10.87"/>
    <x v="36"/>
    <s v="L120"/>
    <s v="Zakonczone"/>
    <s v="Standardowe"/>
    <s v="Niski"/>
    <s v="Lemoniada"/>
    <x v="1"/>
    <n v="12"/>
    <n v="1.1300000000000008"/>
    <s v="Pawel Mazur"/>
    <s v="kawiarnia.pl"/>
    <s v="P.M"/>
    <s v="Wrocław-K007"/>
    <s v="06-01-2024"/>
    <s v="zakonczone"/>
    <x v="36"/>
  </r>
  <r>
    <s v="C0038"/>
    <x v="36"/>
    <x v="4"/>
    <s v="  julia jankowska"/>
    <s v="julia.jankowska@kawiarnia.pl "/>
    <s v="K014"/>
    <n v="1"/>
    <n v="5.74"/>
    <x v="37"/>
    <s v="L134"/>
    <s v="Zakonczone"/>
    <s v="Standardowe"/>
    <s v="Niski"/>
    <s v="Batonik musli"/>
    <x v="2"/>
    <n v="6"/>
    <n v="0.25999999999999979"/>
    <s v="Julia Jankowska"/>
    <s v="kawiarnia.pl "/>
    <s v="J.J"/>
    <s v="Wrocław-K014"/>
    <s v="15-12-2024"/>
    <s v="zakonczone"/>
    <x v="37"/>
  </r>
  <r>
    <s v="C0039"/>
    <x v="37"/>
    <x v="1"/>
    <s v="  Bartosz Zajac"/>
    <s v="bartosz.zajac@kawiarnia.pl "/>
    <s v="K013"/>
    <n v="5"/>
    <n v="22.24"/>
    <x v="38"/>
    <s v="L153"/>
    <s v="Zakonczone"/>
    <s v="Standardowe"/>
    <s v="Niski"/>
    <s v="Sałatka Cesar"/>
    <x v="2"/>
    <n v="22"/>
    <n v="-0.23999999999999844"/>
    <s v="Bartosz Zajac"/>
    <s v="kawiarnia.pl "/>
    <s v="B.Z"/>
    <s v="Gdańsk-K013"/>
    <s v="26-04-2024"/>
    <s v="zakonczone"/>
    <x v="38"/>
  </r>
  <r>
    <s v="C0040"/>
    <x v="37"/>
    <x v="2"/>
    <s v="Kamil WOZNIAK"/>
    <s v="kamil.wozniak@KAWIARNIA.PL"/>
    <s v="K011"/>
    <n v="5"/>
    <n v="8.32"/>
    <x v="39"/>
    <s v="L172"/>
    <s v="nowe"/>
    <s v="Standardowe"/>
    <s v="Średni"/>
    <s v="Muffin czekoladowy"/>
    <x v="3"/>
    <n v="9"/>
    <n v="0.67999999999999972"/>
    <s v="Kamil Wozniak"/>
    <s v="kawiarnia.pl"/>
    <s v="K.W"/>
    <s v="Kraków-K011"/>
    <s v="26-04-2024"/>
    <s v="nowe"/>
    <x v="39"/>
  </r>
  <r>
    <s v="C0041"/>
    <x v="38"/>
    <x v="3"/>
    <s v="michal nowicki"/>
    <s v="michal.nowicki@kawiarnia.pl"/>
    <s v="K003"/>
    <n v="11"/>
    <n v="13.23"/>
    <x v="40"/>
    <s v="L132"/>
    <s v="W REALIZACJI"/>
    <s v="Duże zamówienie"/>
    <s v="Wysoki"/>
    <s v="Latte"/>
    <x v="0"/>
    <n v="14"/>
    <n v="0.76999999999999957"/>
    <s v="Michal Nowicki"/>
    <s v="kawiarnia.pl"/>
    <s v="M.N"/>
    <s v="Warszawa-K003"/>
    <s v="10-08-2024"/>
    <s v="w realizacji"/>
    <x v="40"/>
  </r>
  <r>
    <s v="C0042"/>
    <x v="39"/>
    <x v="0"/>
    <s v="  Bartosz Zajac"/>
    <s v="bartosz.zajac@KAWIARNIA.PL"/>
    <s v="K001"/>
    <n v="9"/>
    <n v="8.6300000000000008"/>
    <x v="41"/>
    <s v="L157"/>
    <s v="nowe"/>
    <s v="Duże zamówienie"/>
    <s v="Niski"/>
    <s v="Espresso"/>
    <x v="0"/>
    <n v="9"/>
    <n v="0.36999999999999922"/>
    <s v="Bartosz Zajac"/>
    <s v="kawiarnia.pl"/>
    <s v="B.Z"/>
    <s v="Poznań-K001"/>
    <s v="23-10-2024"/>
    <s v="nowe"/>
    <x v="41"/>
  </r>
  <r>
    <s v="C0043"/>
    <x v="40"/>
    <x v="1"/>
    <s v="natalia krawczyk  "/>
    <s v="natalia.krawczyk@KAWIARNIA.PL"/>
    <s v="K008"/>
    <n v="10"/>
    <n v="16.45"/>
    <x v="42"/>
    <s v="L164"/>
    <s v="W REALIZACJI"/>
    <s v="Duże zamówienie"/>
    <s v="Niski"/>
    <s v="Smoothie owocowe"/>
    <x v="1"/>
    <n v="18"/>
    <n v="1.5500000000000007"/>
    <s v="Natalia Krawczyk"/>
    <s v="kawiarnia.pl"/>
    <s v="N.K"/>
    <s v="Gdańsk-K008"/>
    <s v="25-03-2024"/>
    <s v="w realizacji"/>
    <x v="42"/>
  </r>
  <r>
    <s v="C0044"/>
    <x v="41"/>
    <x v="1"/>
    <s v="Weronika Duda "/>
    <s v="weronika.duda@KAWIARNIA.PL"/>
    <s v="K002"/>
    <n v="7"/>
    <n v="12.89"/>
    <x v="43"/>
    <s v="L122"/>
    <s v="W REALIZACJI"/>
    <s v="Duże zamówienie"/>
    <s v="Niski"/>
    <s v="Cappuccino"/>
    <x v="0"/>
    <n v="13"/>
    <n v="0.10999999999999943"/>
    <s v="Weronika Duda"/>
    <s v="kawiarnia.pl"/>
    <s v="W.D"/>
    <s v="Gdańsk-K002"/>
    <s v="29-04-2024"/>
    <s v="w realizacji"/>
    <x v="43"/>
  </r>
  <r>
    <s v="C0045"/>
    <x v="42"/>
    <x v="2"/>
    <s v="  Bartosz Zajac"/>
    <s v="bartosz.zajac@kawiarnia.pl "/>
    <s v="K011"/>
    <n v="9"/>
    <n v="9.01"/>
    <x v="3"/>
    <s v="L164"/>
    <s v="Zakonczone"/>
    <s v="Duże zamówienie"/>
    <s v="Średni"/>
    <s v="Muffin czekoladowy"/>
    <x v="3"/>
    <n v="9"/>
    <n v="-9.9999999999997868E-3"/>
    <s v="Bartosz Zajac"/>
    <s v="kawiarnia.pl "/>
    <s v="B.Z"/>
    <s v="Kraków-K011"/>
    <s v="31-08-2024"/>
    <s v="zakonczone"/>
    <x v="44"/>
  </r>
  <r>
    <s v="C0046"/>
    <x v="43"/>
    <x v="2"/>
    <s v="natalia krawczyk  "/>
    <s v="natalia.krawczyk@kawiarnia.pl "/>
    <s v="K012"/>
    <n v="7"/>
    <n v="16.309999999999999"/>
    <x v="44"/>
    <s v="L171"/>
    <s v="nowe"/>
    <s v="Duże zamówienie"/>
    <s v="Średni"/>
    <s v="Bagietka z szynką"/>
    <x v="2"/>
    <n v="17"/>
    <n v="0.69000000000000128"/>
    <s v="Natalia Krawczyk"/>
    <s v="kawiarnia.pl "/>
    <s v="N.K"/>
    <s v="Kraków-K012"/>
    <s v="09-02-2024"/>
    <s v="nowe"/>
    <x v="45"/>
  </r>
  <r>
    <s v="C0047"/>
    <x v="44"/>
    <x v="4"/>
    <s v="  julia jankowska"/>
    <s v="julia.jankowska@kawiarnia.pl "/>
    <s v="K004"/>
    <n v="2"/>
    <n v="11.21"/>
    <x v="45"/>
    <s v="L103"/>
    <s v="nowe"/>
    <s v="Standardowe"/>
    <s v="Niski"/>
    <s v="Americano"/>
    <x v="0"/>
    <n v="11"/>
    <n v="-0.21000000000000085"/>
    <s v="Julia Jankowska"/>
    <s v="kawiarnia.pl "/>
    <s v="J.J"/>
    <s v="Wrocław-K004"/>
    <s v="03-05-2024"/>
    <s v="nowe"/>
    <x v="46"/>
  </r>
  <r>
    <s v="C0048"/>
    <x v="45"/>
    <x v="3"/>
    <s v="  julia jankowska"/>
    <s v="julia.jankowska@KAWIARNIA.PL"/>
    <s v="K011"/>
    <n v="5"/>
    <n v="8.35"/>
    <x v="46"/>
    <s v="L185"/>
    <s v="Zakonczone"/>
    <s v="Standardowe"/>
    <s v="Średni"/>
    <s v="Muffin czekoladowy"/>
    <x v="3"/>
    <n v="9"/>
    <n v="0.65000000000000036"/>
    <s v="Julia Jankowska"/>
    <s v="kawiarnia.pl"/>
    <s v="J.J"/>
    <s v="Warszawa-K011"/>
    <s v="11-08-2024"/>
    <s v="zakonczone"/>
    <x v="47"/>
  </r>
  <r>
    <s v="C0049"/>
    <x v="35"/>
    <x v="1"/>
    <s v="PAWEL  Mazur"/>
    <s v="pawel.mazur@kawiarnia.pl"/>
    <s v="K002"/>
    <n v="3"/>
    <n v="12.37"/>
    <x v="47"/>
    <s v="L118"/>
    <s v="W realizacji "/>
    <s v="Standardowe"/>
    <s v="Niski"/>
    <s v="Cappuccino"/>
    <x v="0"/>
    <n v="13"/>
    <n v="0.63000000000000078"/>
    <s v="Pawel Mazur"/>
    <s v="kawiarnia.pl"/>
    <s v="P.M"/>
    <s v="Gdańsk-K002"/>
    <s v="06-01-2024"/>
    <s v="w realizacji"/>
    <x v="48"/>
  </r>
  <r>
    <s v="C0050"/>
    <x v="46"/>
    <x v="1"/>
    <s v="PAWEL  Mazur"/>
    <s v="pawel.mazur@kawiarnia.pl"/>
    <s v="K001"/>
    <n v="6"/>
    <n v="8.41"/>
    <x v="48"/>
    <s v="L177"/>
    <s v="nowe"/>
    <s v="Standardowe"/>
    <s v="Niski"/>
    <s v="Espresso"/>
    <x v="0"/>
    <n v="9"/>
    <n v="0.58999999999999986"/>
    <s v="Pawel Mazur"/>
    <s v="kawiarnia.pl"/>
    <s v="P.M"/>
    <s v="Gdańsk-K001"/>
    <s v="05-06-2024"/>
    <s v="nowe"/>
    <x v="49"/>
  </r>
  <r>
    <s v="C0051"/>
    <x v="47"/>
    <x v="3"/>
    <s v="  julia jankowska"/>
    <s v="julia.jankowska@KAWIARNIA.PL"/>
    <s v="K004"/>
    <n v="9"/>
    <n v="10.15"/>
    <x v="49"/>
    <s v="L109"/>
    <s v="nowe"/>
    <s v="Duże zamówienie"/>
    <s v="Wysoki"/>
    <s v="Americano"/>
    <x v="0"/>
    <n v="11"/>
    <n v="0.84999999999999964"/>
    <s v="Julia Jankowska"/>
    <s v="kawiarnia.pl"/>
    <s v="J.J"/>
    <s v="Warszawa-K004"/>
    <s v="13-07-2024"/>
    <s v="nowe"/>
    <x v="50"/>
  </r>
  <r>
    <s v="C0052"/>
    <x v="48"/>
    <x v="2"/>
    <s v="natalia krawczyk  "/>
    <s v="natalia.krawczyk@KAWIARNIA.PL"/>
    <s v="K005"/>
    <n v="2"/>
    <n v="9.9700000000000006"/>
    <x v="50"/>
    <s v="L155"/>
    <s v="nowe"/>
    <s v="Standardowe"/>
    <s v="Średni"/>
    <s v="Herbata liściasta"/>
    <x v="0"/>
    <n v="10"/>
    <n v="2.9999999999999361E-2"/>
    <s v="Natalia Krawczyk"/>
    <s v="kawiarnia.pl"/>
    <s v="N.K"/>
    <s v="Kraków-K005"/>
    <s v="15-01-2024"/>
    <s v="nowe"/>
    <x v="51"/>
  </r>
  <r>
    <s v="C0053"/>
    <x v="49"/>
    <x v="0"/>
    <s v="ALEKSANDRA KOWAL"/>
    <s v="aleksandra.kowal@kawiarnia.pl "/>
    <s v="K012"/>
    <n v="6"/>
    <n v="16.57"/>
    <x v="51"/>
    <s v="L171"/>
    <s v="  nowe  "/>
    <s v="Standardowe"/>
    <s v="Niski"/>
    <s v="Bagietka z szynką"/>
    <x v="2"/>
    <n v="17"/>
    <n v="0.42999999999999972"/>
    <s v="Aleksandra Kowal"/>
    <s v="kawiarnia.pl "/>
    <s v="A.K"/>
    <s v="Poznań-K012"/>
    <s v="02-12-2024"/>
    <s v="nowe"/>
    <x v="52"/>
  </r>
  <r>
    <s v="C0054"/>
    <x v="29"/>
    <x v="4"/>
    <s v="  julia jankowska"/>
    <s v="julia.jankowska@kawiarnia.pl "/>
    <s v="K002"/>
    <n v="5"/>
    <n v="12.74"/>
    <x v="52"/>
    <s v="L108"/>
    <s v="nowe"/>
    <s v="Standardowe"/>
    <s v="Niski"/>
    <s v="Cappuccino"/>
    <x v="0"/>
    <n v="13"/>
    <n v="0.25999999999999979"/>
    <s v="Julia Jankowska"/>
    <s v="kawiarnia.pl "/>
    <s v="J.J"/>
    <s v="Wrocław-K002"/>
    <s v="13-10-2024"/>
    <s v="nowe"/>
    <x v="53"/>
  </r>
  <r>
    <s v="C0055"/>
    <x v="50"/>
    <x v="4"/>
    <s v="  julia jankowska"/>
    <s v="julia.jankowska@kawiarnia.pl "/>
    <s v="K005"/>
    <n v="10"/>
    <n v="9.94"/>
    <x v="53"/>
    <s v="L127"/>
    <s v="  nowe  "/>
    <s v="Duże zamówienie"/>
    <s v="Niski"/>
    <s v="Herbata liściasta"/>
    <x v="0"/>
    <n v="10"/>
    <n v="6.0000000000000497E-2"/>
    <s v="Julia Jankowska"/>
    <s v="kawiarnia.pl "/>
    <s v="J.J"/>
    <s v="Wrocław-K005"/>
    <s v="22-04-2024"/>
    <s v="nowe"/>
    <x v="54"/>
  </r>
  <r>
    <s v="C0056"/>
    <x v="51"/>
    <x v="0"/>
    <s v="michal nowicki"/>
    <s v="michal.nowicki@kawiarnia.pl "/>
    <s v="K002"/>
    <n v="7"/>
    <n v="11.94"/>
    <x v="54"/>
    <s v="L102"/>
    <s v="Zakonczone"/>
    <s v="Duże zamówienie"/>
    <s v="Niski"/>
    <s v="Cappuccino"/>
    <x v="0"/>
    <n v="13"/>
    <n v="1.0600000000000005"/>
    <s v="Michal Nowicki"/>
    <s v="kawiarnia.pl "/>
    <s v="M.N"/>
    <s v="Poznań-K002"/>
    <s v="06-12-2024"/>
    <s v="zakonczone"/>
    <x v="55"/>
  </r>
  <r>
    <s v="C0057"/>
    <x v="52"/>
    <x v="0"/>
    <s v="Kamil WOZNIAK"/>
    <s v="kamil.wozniak@KAWIARNIA.PL"/>
    <s v="K004"/>
    <n v="10"/>
    <n v="11.04"/>
    <x v="55"/>
    <s v="L113"/>
    <s v="Zakonczone"/>
    <s v="Duże zamówienie"/>
    <s v="Niski"/>
    <s v="Americano"/>
    <x v="0"/>
    <n v="11"/>
    <n v="-3.9999999999999147E-2"/>
    <s v="Kamil Wozniak"/>
    <s v="kawiarnia.pl"/>
    <s v="K.W"/>
    <s v="Poznań-K004"/>
    <s v="10-09-2024"/>
    <s v="zakonczone"/>
    <x v="56"/>
  </r>
  <r>
    <s v="C0058"/>
    <x v="53"/>
    <x v="2"/>
    <s v="ALEKSANDRA KOWAL"/>
    <s v="aleksandra.kowal@kawiarnia.pl "/>
    <s v="K008"/>
    <n v="12"/>
    <n v="17.52"/>
    <x v="56"/>
    <s v="L176"/>
    <s v="nowe"/>
    <s v="Duże zamówienie"/>
    <s v="Średni"/>
    <s v="Smoothie owocowe"/>
    <x v="1"/>
    <n v="18"/>
    <n v="0.48000000000000043"/>
    <s v="Aleksandra Kowal"/>
    <s v="kawiarnia.pl "/>
    <s v="A.K"/>
    <s v="Kraków-K008"/>
    <s v="22-07-2024"/>
    <s v="nowe"/>
    <x v="57"/>
  </r>
  <r>
    <s v="C0059"/>
    <x v="54"/>
    <x v="3"/>
    <s v="michal nowicki"/>
    <s v="michal.nowicki@kawiarnia.pl "/>
    <s v="K003"/>
    <n v="7"/>
    <n v="13"/>
    <x v="57"/>
    <s v="L184"/>
    <s v="W realizacji "/>
    <s v="Duże zamówienie"/>
    <s v="Wysoki"/>
    <s v="Latte"/>
    <x v="0"/>
    <n v="14"/>
    <n v="1"/>
    <s v="Michal Nowicki"/>
    <s v="kawiarnia.pl "/>
    <s v="M.N"/>
    <s v="Warszawa-K003"/>
    <s v="22-12-2024"/>
    <s v="w realizacji"/>
    <x v="58"/>
  </r>
  <r>
    <s v="C0060"/>
    <x v="55"/>
    <x v="1"/>
    <s v="michal nowicki"/>
    <s v="michal.nowicki@kawiarnia.pl"/>
    <s v="K006"/>
    <n v="4"/>
    <n v="14.89"/>
    <x v="58"/>
    <s v="L181"/>
    <s v="nowe"/>
    <s v="Standardowe"/>
    <s v="Niski"/>
    <s v="Mrożona kawa"/>
    <x v="1"/>
    <n v="16"/>
    <n v="1.1099999999999994"/>
    <s v="Michal Nowicki"/>
    <s v="kawiarnia.pl"/>
    <s v="M.N"/>
    <s v="Gdańsk-K006"/>
    <s v="27-10-2024"/>
    <s v="nowe"/>
    <x v="59"/>
  </r>
  <r>
    <s v="C0061"/>
    <x v="56"/>
    <x v="0"/>
    <s v="PAWEL  Mazur"/>
    <s v="pawel.mazur@kawiarnia.pl"/>
    <s v="K014"/>
    <n v="12"/>
    <n v="5.66"/>
    <x v="59"/>
    <s v="L122"/>
    <s v="W realizacji "/>
    <s v="Duże zamówienie"/>
    <s v="Niski"/>
    <s v="Batonik musli"/>
    <x v="2"/>
    <n v="6"/>
    <n v="0.33999999999999986"/>
    <s v="Pawel Mazur"/>
    <s v="kawiarnia.pl"/>
    <s v="P.M"/>
    <s v="Poznań-K014"/>
    <s v="07-01-2024"/>
    <s v="w realizacji"/>
    <x v="60"/>
  </r>
  <r>
    <s v="C0062"/>
    <x v="57"/>
    <x v="3"/>
    <s v="PAWEL  Mazur"/>
    <s v="pawel.mazur@kawiarnia.pl"/>
    <s v="K007"/>
    <n v="11"/>
    <n v="10.97"/>
    <x v="60"/>
    <s v="L134"/>
    <s v="Zakonczone"/>
    <s v="Duże zamówienie"/>
    <s v="Wysoki"/>
    <s v="Lemoniada"/>
    <x v="1"/>
    <n v="12"/>
    <n v="1.0299999999999994"/>
    <s v="Pawel Mazur"/>
    <s v="kawiarnia.pl"/>
    <s v="P.M"/>
    <s v="Warszawa-K007"/>
    <s v="31-07-2024"/>
    <s v="zakonczone"/>
    <x v="61"/>
  </r>
  <r>
    <s v="C0063"/>
    <x v="58"/>
    <x v="4"/>
    <s v="  Bartosz Zajac"/>
    <s v="bartosz.zajac@KAWIARNIA.PL"/>
    <s v="K001"/>
    <n v="12"/>
    <n v="8.92"/>
    <x v="61"/>
    <s v="L108"/>
    <s v="Zakonczone"/>
    <s v="Duże zamówienie"/>
    <s v="Niski"/>
    <s v="Espresso"/>
    <x v="0"/>
    <n v="9"/>
    <n v="8.0000000000000071E-2"/>
    <s v="Bartosz Zajac"/>
    <s v="kawiarnia.pl"/>
    <s v="B.Z"/>
    <s v="Wrocław-K001"/>
    <s v="04-06-2024"/>
    <s v="zakonczone"/>
    <x v="62"/>
  </r>
  <r>
    <s v="C0064"/>
    <x v="59"/>
    <x v="0"/>
    <s v="  Bartosz Zajac"/>
    <s v="bartosz.zajac@KAWIARNIA.PL"/>
    <s v="K004"/>
    <n v="9"/>
    <n v="10.41"/>
    <x v="62"/>
    <s v="L157"/>
    <s v="Zakonczone"/>
    <s v="Duże zamówienie"/>
    <s v="Niski"/>
    <s v="Americano"/>
    <x v="0"/>
    <n v="11"/>
    <n v="0.58999999999999986"/>
    <s v="Bartosz Zajac"/>
    <s v="kawiarnia.pl"/>
    <s v="B.Z"/>
    <s v="Poznań-K004"/>
    <s v="30-08-2024"/>
    <s v="zakonczone"/>
    <x v="63"/>
  </r>
  <r>
    <s v="C0065"/>
    <x v="60"/>
    <x v="4"/>
    <s v="  Bartosz Zajac"/>
    <s v="bartosz.zajac@KAWIARNIA.PL"/>
    <s v="K004"/>
    <n v="6"/>
    <n v="10.74"/>
    <x v="63"/>
    <s v="L164"/>
    <s v="W REALIZACJI"/>
    <s v="Standardowe"/>
    <s v="Niski"/>
    <s v="Americano"/>
    <x v="0"/>
    <n v="11"/>
    <n v="0.25999999999999979"/>
    <s v="Bartosz Zajac"/>
    <s v="kawiarnia.pl"/>
    <s v="B.Z"/>
    <s v="Wrocław-K004"/>
    <s v="13-09-2024"/>
    <s v="w realizacji"/>
    <x v="64"/>
  </r>
  <r>
    <s v="C0066"/>
    <x v="61"/>
    <x v="4"/>
    <s v="ALEKSANDRA KOWAL"/>
    <s v="aleksandra.kowal@KAWIARNIA.PL"/>
    <s v="K013"/>
    <n v="3"/>
    <n v="21.69"/>
    <x v="64"/>
    <s v="L143"/>
    <s v="W realizacji "/>
    <s v="Standardowe"/>
    <s v="Niski"/>
    <s v="Sałatka Cesar"/>
    <x v="2"/>
    <n v="22"/>
    <n v="0.30999999999999872"/>
    <s v="Aleksandra Kowal"/>
    <s v="kawiarnia.pl"/>
    <s v="A.K"/>
    <s v="Wrocław-K013"/>
    <s v="10-11-2024"/>
    <s v="w realizacji"/>
    <x v="65"/>
  </r>
  <r>
    <s v="C0067"/>
    <x v="13"/>
    <x v="1"/>
    <s v="ALEKSANDRA KOWAL"/>
    <s v="aleksandra.kowal@KAWIARNIA.PL"/>
    <s v="K007"/>
    <n v="8"/>
    <n v="10.99"/>
    <x v="65"/>
    <s v="L100"/>
    <s v="W REALIZACJI"/>
    <s v="Duże zamówienie"/>
    <s v="Niski"/>
    <s v="Lemoniada"/>
    <x v="1"/>
    <n v="12"/>
    <n v="1.0099999999999998"/>
    <s v="Aleksandra Kowal"/>
    <s v="kawiarnia.pl"/>
    <s v="A.K"/>
    <s v="Gdańsk-K007"/>
    <s v="23-07-2024"/>
    <s v="w realizacji"/>
    <x v="66"/>
  </r>
  <r>
    <s v="C0068"/>
    <x v="62"/>
    <x v="2"/>
    <s v="PAWEL  Mazur"/>
    <s v="pawel.mazur@kawiarnia.pl"/>
    <s v="K012"/>
    <n v="5"/>
    <n v="17.11"/>
    <x v="66"/>
    <s v="L122"/>
    <s v="Zakonczone"/>
    <s v="Standardowe"/>
    <s v="Średni"/>
    <s v="Bagietka z szynką"/>
    <x v="2"/>
    <n v="17"/>
    <n v="-0.10999999999999943"/>
    <s v="Pawel Mazur"/>
    <s v="kawiarnia.pl"/>
    <s v="P.M"/>
    <s v="Kraków-K012"/>
    <s v="15-02-2024"/>
    <s v="zakonczone"/>
    <x v="67"/>
  </r>
  <r>
    <s v="C0069"/>
    <x v="3"/>
    <x v="2"/>
    <s v="ALEKSANDRA KOWAL"/>
    <s v="aleksandra.kowal@kawiarnia.pl "/>
    <s v="K001"/>
    <n v="4"/>
    <n v="8.5"/>
    <x v="67"/>
    <s v="L142"/>
    <s v="Zakonczone"/>
    <s v="Standardowe"/>
    <s v="Średni"/>
    <s v="Espresso"/>
    <x v="0"/>
    <n v="9"/>
    <n v="0.5"/>
    <s v="Aleksandra Kowal"/>
    <s v="kawiarnia.pl "/>
    <s v="A.K"/>
    <s v="Kraków-K001"/>
    <s v="12-12-2024"/>
    <s v="zakonczone"/>
    <x v="68"/>
  </r>
  <r>
    <s v="C0070"/>
    <x v="63"/>
    <x v="0"/>
    <s v="PAWEL  Mazur"/>
    <s v="pawel.mazur@kawiarnia.pl"/>
    <s v="K006"/>
    <n v="4"/>
    <n v="15.24"/>
    <x v="68"/>
    <s v="L105"/>
    <s v="W realizacji "/>
    <s v="Standardowe"/>
    <s v="Niski"/>
    <s v="Mrożona kawa"/>
    <x v="1"/>
    <n v="16"/>
    <n v="0.75999999999999979"/>
    <s v="Pawel Mazur"/>
    <s v="kawiarnia.pl"/>
    <s v="P.M"/>
    <s v="Poznań-K006"/>
    <s v="22-01-2024"/>
    <s v="w realizacji"/>
    <x v="69"/>
  </r>
  <r>
    <s v="C0071"/>
    <x v="64"/>
    <x v="1"/>
    <s v="natalia krawczyk  "/>
    <s v="natalia.krawczyk@KAWIARNIA.PL"/>
    <s v="K011"/>
    <n v="9"/>
    <n v="8.92"/>
    <x v="69"/>
    <s v="L191"/>
    <s v="  nowe  "/>
    <s v="Duże zamówienie"/>
    <s v="Niski"/>
    <s v="Muffin czekoladowy"/>
    <x v="3"/>
    <n v="9"/>
    <n v="8.0000000000000071E-2"/>
    <s v="Natalia Krawczyk"/>
    <s v="kawiarnia.pl"/>
    <s v="N.K"/>
    <s v="Gdańsk-K011"/>
    <s v="15-06-2024"/>
    <s v="nowe"/>
    <x v="62"/>
  </r>
  <r>
    <s v="C0072"/>
    <x v="65"/>
    <x v="1"/>
    <s v="  julia jankowska"/>
    <s v="julia.jankowska@kawiarnia.pl "/>
    <s v="K009"/>
    <n v="9"/>
    <n v="7.57"/>
    <x v="70"/>
    <s v="L102"/>
    <s v="Zakonczone"/>
    <s v="Duże zamówienie"/>
    <s v="Niski"/>
    <s v="Croissant"/>
    <x v="3"/>
    <n v="8"/>
    <n v="0.42999999999999972"/>
    <s v="Julia Jankowska"/>
    <s v="kawiarnia.pl "/>
    <s v="J.J"/>
    <s v="Gdańsk-K009"/>
    <s v="24-03-2024"/>
    <s v="zakonczone"/>
    <x v="70"/>
  </r>
  <r>
    <s v="C0073"/>
    <x v="66"/>
    <x v="4"/>
    <s v="  Bartosz Zajac"/>
    <s v="bartosz.zajac@KAWIARNIA.PL"/>
    <s v="K002"/>
    <n v="9"/>
    <n v="12.32"/>
    <x v="71"/>
    <s v="L186"/>
    <s v="Zakonczone"/>
    <s v="Duże zamówienie"/>
    <s v="Niski"/>
    <s v="Cappuccino"/>
    <x v="0"/>
    <n v="13"/>
    <n v="0.67999999999999972"/>
    <s v="Bartosz Zajac"/>
    <s v="kawiarnia.pl"/>
    <s v="B.Z"/>
    <s v="Wrocław-K002"/>
    <s v="30-10-2024"/>
    <s v="zakonczone"/>
    <x v="71"/>
  </r>
  <r>
    <s v="C0074"/>
    <x v="67"/>
    <x v="4"/>
    <s v="  Bartosz Zajac"/>
    <s v="bartosz.zajac@kawiarnia.pl "/>
    <s v="K013"/>
    <n v="12"/>
    <n v="20.13"/>
    <x v="72"/>
    <s v="L170"/>
    <s v="Zakonczone"/>
    <s v="Duże zamówienie"/>
    <s v="Niski"/>
    <s v="Sałatka Cesar"/>
    <x v="2"/>
    <n v="22"/>
    <n v="1.870000000000001"/>
    <s v="Bartosz Zajac"/>
    <s v="kawiarnia.pl "/>
    <s v="B.Z"/>
    <s v="Wrocław-K013"/>
    <s v="29-05-2024"/>
    <s v="zakonczone"/>
    <x v="72"/>
  </r>
  <r>
    <s v="C0075"/>
    <x v="68"/>
    <x v="4"/>
    <s v="Kamil WOZNIAK"/>
    <s v="kamil.wozniak@KAWIARNIA.PL"/>
    <s v="K001"/>
    <n v="3"/>
    <n v="8.9499999999999993"/>
    <x v="73"/>
    <s v="L160"/>
    <s v="  nowe  "/>
    <s v="Standardowe"/>
    <s v="Niski"/>
    <s v="Espresso"/>
    <x v="0"/>
    <n v="9"/>
    <n v="5.0000000000000711E-2"/>
    <s v="Kamil Wozniak"/>
    <s v="kawiarnia.pl"/>
    <s v="K.W"/>
    <s v="Wrocław-K001"/>
    <s v="17-01-2024"/>
    <s v="nowe"/>
    <x v="73"/>
  </r>
  <r>
    <s v="C0076"/>
    <x v="69"/>
    <x v="1"/>
    <s v="Kamil WOZNIAK"/>
    <s v="kamil.wozniak@KAWIARNIA.PL"/>
    <s v="K014"/>
    <n v="7"/>
    <n v="5.63"/>
    <x v="74"/>
    <s v="L126"/>
    <s v="Zakonczone"/>
    <s v="Duże zamówienie"/>
    <s v="Niski"/>
    <s v="Batonik musli"/>
    <x v="2"/>
    <n v="6"/>
    <n v="0.37000000000000011"/>
    <s v="Kamil Wozniak"/>
    <s v="kawiarnia.pl"/>
    <s v="K.W"/>
    <s v="Gdańsk-K014"/>
    <s v="07-08-2024"/>
    <s v="zakonczone"/>
    <x v="74"/>
  </r>
  <r>
    <s v="C0077"/>
    <x v="70"/>
    <x v="3"/>
    <s v="PAWEL  Mazur"/>
    <s v="pawel.mazur@kawiarnia.pl "/>
    <s v="K001"/>
    <n v="6"/>
    <n v="8.6300000000000008"/>
    <x v="75"/>
    <s v="L175"/>
    <s v="W REALIZACJI"/>
    <s v="Standardowe"/>
    <s v="Wysoki"/>
    <s v="Espresso"/>
    <x v="0"/>
    <n v="9"/>
    <n v="0.36999999999999922"/>
    <s v="Pawel Mazur"/>
    <s v="kawiarnia.pl "/>
    <s v="P.M"/>
    <s v="Warszawa-K001"/>
    <s v="09-03-2024"/>
    <s v="w realizacji"/>
    <x v="41"/>
  </r>
  <r>
    <s v="C0078"/>
    <x v="66"/>
    <x v="3"/>
    <s v="PAWEL  Mazur"/>
    <s v="pawel.mazur@kawiarnia.pl"/>
    <s v="K003"/>
    <n v="3"/>
    <n v="14"/>
    <x v="76"/>
    <s v="L116"/>
    <s v="Zakonczone"/>
    <s v="Standardowe"/>
    <s v="Średni"/>
    <s v="Latte"/>
    <x v="0"/>
    <n v="14"/>
    <n v="0"/>
    <s v="Pawel Mazur"/>
    <s v="kawiarnia.pl"/>
    <s v="P.M"/>
    <s v="Warszawa-K003"/>
    <s v="30-10-2024"/>
    <s v="zakonczone"/>
    <x v="17"/>
  </r>
  <r>
    <s v="C0079"/>
    <x v="71"/>
    <x v="3"/>
    <s v="PAWEL  Mazur"/>
    <s v="pawel.mazur@kawiarnia.pl"/>
    <s v="K009"/>
    <n v="9"/>
    <n v="7.35"/>
    <x v="77"/>
    <s v="L138"/>
    <s v="  nowe  "/>
    <s v="Duże zamówienie"/>
    <s v="Wysoki"/>
    <s v="Croissant"/>
    <x v="3"/>
    <n v="8"/>
    <n v="0.65000000000000036"/>
    <s v="Pawel Mazur"/>
    <s v="kawiarnia.pl"/>
    <s v="P.M"/>
    <s v="Warszawa-K009"/>
    <s v="25-12-2024"/>
    <s v="nowe"/>
    <x v="75"/>
  </r>
  <r>
    <s v="C0080"/>
    <x v="1"/>
    <x v="3"/>
    <s v="  julia jankowska"/>
    <s v="julia.jankowska@KAWIARNIA.PL"/>
    <s v="K004"/>
    <n v="8"/>
    <n v="10.97"/>
    <x v="78"/>
    <s v="L163"/>
    <s v="Zakonczone"/>
    <s v="Duże zamówienie"/>
    <s v="Wysoki"/>
    <s v="Americano"/>
    <x v="0"/>
    <n v="11"/>
    <n v="2.9999999999999361E-2"/>
    <s v="Julia Jankowska"/>
    <s v="kawiarnia.pl"/>
    <s v="J.J"/>
    <s v="Warszawa-K004"/>
    <s v="15-07-2024"/>
    <s v="zakonczone"/>
    <x v="76"/>
  </r>
  <r>
    <s v="C0081"/>
    <x v="44"/>
    <x v="1"/>
    <s v="michal nowicki"/>
    <s v="michal.nowicki@kawiarnia.pl"/>
    <s v="K013"/>
    <n v="2"/>
    <n v="22.85"/>
    <x v="79"/>
    <s v="L171"/>
    <s v="W REALIZACJI"/>
    <s v="Standardowe"/>
    <s v="Niski"/>
    <s v="Sałatka Cesar"/>
    <x v="2"/>
    <n v="22"/>
    <n v="-0.85000000000000142"/>
    <s v="Michal Nowicki"/>
    <s v="kawiarnia.pl"/>
    <s v="M.N"/>
    <s v="Gdańsk-K013"/>
    <s v="03-05-2024"/>
    <s v="w realizacji"/>
    <x v="77"/>
  </r>
  <r>
    <s v="C0082"/>
    <x v="72"/>
    <x v="4"/>
    <s v="michal nowicki"/>
    <s v="michal.nowicki@kawiarnia.pl"/>
    <s v="K999"/>
    <n v="4"/>
    <n v="12.1"/>
    <x v="80"/>
    <s v="L101"/>
    <s v="  nowe  "/>
    <s v="Standardowe"/>
    <s v="Niski"/>
    <s v="Brak w katalogu"/>
    <x v="4"/>
    <e v="#N/A"/>
    <e v="#N/A"/>
    <s v="Michal Nowicki"/>
    <s v="kawiarnia.pl"/>
    <s v="M.N"/>
    <s v="Wrocław-K999"/>
    <s v="25-11-2024"/>
    <s v="nowe"/>
    <x v="78"/>
  </r>
  <r>
    <s v="C0083"/>
    <x v="73"/>
    <x v="1"/>
    <s v="Weronika Duda "/>
    <s v="weronika.duda@KAWIARNIA.PL"/>
    <s v="K001"/>
    <n v="4"/>
    <n v="9.08"/>
    <x v="81"/>
    <s v="L177"/>
    <s v="W REALIZACJI"/>
    <s v="Standardowe"/>
    <s v="Niski"/>
    <s v="Espresso"/>
    <x v="0"/>
    <n v="9"/>
    <n v="-8.0000000000000071E-2"/>
    <s v="Weronika Duda"/>
    <s v="kawiarnia.pl"/>
    <s v="W.D"/>
    <s v="Gdańsk-K001"/>
    <s v="13-04-2024"/>
    <s v="w realizacji"/>
    <x v="79"/>
  </r>
  <r>
    <s v="C0084"/>
    <x v="74"/>
    <x v="0"/>
    <s v="  Bartosz Zajac"/>
    <s v="bartosz.zajac@KAWIARNIA.PL"/>
    <s v="K013"/>
    <n v="9"/>
    <n v="21.31"/>
    <x v="82"/>
    <s v="L177"/>
    <s v="nowe"/>
    <s v="Duże zamówienie"/>
    <s v="Niski"/>
    <s v="Sałatka Cesar"/>
    <x v="2"/>
    <n v="22"/>
    <n v="0.69000000000000128"/>
    <s v="Bartosz Zajac"/>
    <s v="kawiarnia.pl"/>
    <s v="B.Z"/>
    <s v="Poznań-K013"/>
    <s v="20-03-2024"/>
    <s v="nowe"/>
    <x v="80"/>
  </r>
  <r>
    <s v="C0085"/>
    <x v="68"/>
    <x v="4"/>
    <s v="michal nowicki"/>
    <s v="michal.nowicki@kawiarnia.pl "/>
    <s v="K999"/>
    <n v="4"/>
    <n v="11.83"/>
    <x v="83"/>
    <s v="L147"/>
    <s v="  nowe  "/>
    <s v="Standardowe"/>
    <s v="Niski"/>
    <s v="Brak w katalogu"/>
    <x v="4"/>
    <e v="#N/A"/>
    <e v="#N/A"/>
    <s v="Michal Nowicki"/>
    <s v="kawiarnia.pl "/>
    <s v="M.N"/>
    <s v="Wrocław-K999"/>
    <s v="17-01-2024"/>
    <s v="nowe"/>
    <x v="78"/>
  </r>
  <r>
    <s v="C0086"/>
    <x v="75"/>
    <x v="4"/>
    <s v="  julia jankowska"/>
    <s v="julia.jankowska@kawiarnia.pl "/>
    <s v="K012"/>
    <n v="1"/>
    <n v="17.309999999999999"/>
    <x v="84"/>
    <s v="L173"/>
    <s v="Zakonczone"/>
    <s v="Standardowe"/>
    <s v="Niski"/>
    <s v="Bagietka z szynką"/>
    <x v="2"/>
    <n v="17"/>
    <n v="-0.30999999999999872"/>
    <s v="Julia Jankowska"/>
    <s v="kawiarnia.pl "/>
    <s v="J.J"/>
    <s v="Wrocław-K012"/>
    <s v="10-03-2024"/>
    <s v="zakonczone"/>
    <x v="81"/>
  </r>
  <r>
    <s v="C0087"/>
    <x v="76"/>
    <x v="2"/>
    <s v="Kamil WOZNIAK"/>
    <s v="kamil.wozniak@kawiarnia.pl "/>
    <s v="K009"/>
    <n v="5"/>
    <n v="7.77"/>
    <x v="85"/>
    <s v="L110"/>
    <s v="  nowe  "/>
    <s v="Standardowe"/>
    <s v="Średni"/>
    <s v="Croissant"/>
    <x v="3"/>
    <n v="8"/>
    <n v="0.23000000000000043"/>
    <s v="Kamil Wozniak"/>
    <s v="kawiarnia.pl "/>
    <s v="K.W"/>
    <s v="Kraków-K009"/>
    <s v="01-10-2024"/>
    <s v="nowe"/>
    <x v="82"/>
  </r>
  <r>
    <s v="C0088"/>
    <x v="77"/>
    <x v="0"/>
    <s v="PAWEL  Mazur"/>
    <s v="pawel.mazur@kawiarnia.pl "/>
    <s v="K001"/>
    <n v="9"/>
    <n v="8.33"/>
    <x v="86"/>
    <s v="L103"/>
    <s v="W realizacji "/>
    <s v="Duże zamówienie"/>
    <s v="Niski"/>
    <s v="Espresso"/>
    <x v="0"/>
    <n v="9"/>
    <n v="0.66999999999999993"/>
    <s v="Pawel Mazur"/>
    <s v="kawiarnia.pl "/>
    <s v="P.M"/>
    <s v="Poznań-K001"/>
    <s v="28-12-2024"/>
    <s v="w realizacji"/>
    <x v="83"/>
  </r>
  <r>
    <s v="C0089"/>
    <x v="78"/>
    <x v="2"/>
    <s v="  Bartosz Zajac"/>
    <s v="bartosz.zajac@kawiarnia.pl "/>
    <s v="K012"/>
    <n v="1"/>
    <n v="15.71"/>
    <x v="87"/>
    <s v="L128"/>
    <s v="Zakonczone"/>
    <s v="Standardowe"/>
    <s v="Średni"/>
    <s v="Bagietka z szynką"/>
    <x v="2"/>
    <n v="17"/>
    <n v="1.2899999999999991"/>
    <s v="Bartosz Zajac"/>
    <s v="kawiarnia.pl "/>
    <s v="B.Z"/>
    <s v="Kraków-K012"/>
    <s v="08-05-2024"/>
    <s v="zakonczone"/>
    <x v="84"/>
  </r>
  <r>
    <s v="C0090"/>
    <x v="79"/>
    <x v="4"/>
    <s v="Kamil WOZNIAK"/>
    <s v="kamil.wozniak@KAWIARNIA.PL"/>
    <s v="K005"/>
    <n v="6"/>
    <n v="10.17"/>
    <x v="88"/>
    <s v="L100"/>
    <s v="W REALIZACJI"/>
    <s v="Standardowe"/>
    <s v="Niski"/>
    <s v="Herbata liściasta"/>
    <x v="0"/>
    <n v="10"/>
    <n v="-0.16999999999999993"/>
    <s v="Kamil Wozniak"/>
    <s v="kawiarnia.pl"/>
    <s v="K.W"/>
    <s v="Wrocław-K005"/>
    <s v="10-05-2024"/>
    <s v="w realizacji"/>
    <x v="85"/>
  </r>
  <r>
    <s v="C0091"/>
    <x v="80"/>
    <x v="0"/>
    <s v="Weronika Duda "/>
    <s v="weronika.duda@KAWIARNIA.PL"/>
    <s v="K008"/>
    <n v="11"/>
    <n v="17.059999999999999"/>
    <x v="89"/>
    <s v="L180"/>
    <s v="W REALIZACJI"/>
    <s v="Duże zamówienie"/>
    <s v="Niski"/>
    <s v="Smoothie owocowe"/>
    <x v="1"/>
    <n v="18"/>
    <n v="0.94000000000000128"/>
    <s v="Weronika Duda"/>
    <s v="kawiarnia.pl"/>
    <s v="W.D"/>
    <s v="Poznań-K008"/>
    <s v="07-10-2024"/>
    <s v="w realizacji"/>
    <x v="86"/>
  </r>
  <r>
    <s v="C0092"/>
    <x v="81"/>
    <x v="1"/>
    <s v="  Bartosz Zajac"/>
    <s v="bartosz.zajac@kawiarnia.pl "/>
    <s v="K009"/>
    <n v="7"/>
    <n v="7.87"/>
    <x v="90"/>
    <s v="L175"/>
    <s v="W REALIZACJI"/>
    <s v="Duże zamówienie"/>
    <s v="Niski"/>
    <s v="Croissant"/>
    <x v="3"/>
    <n v="8"/>
    <n v="0.12999999999999989"/>
    <s v="Bartosz Zajac"/>
    <s v="kawiarnia.pl "/>
    <s v="B.Z"/>
    <s v="Gdańsk-K009"/>
    <s v="16-06-2024"/>
    <s v="w realizacji"/>
    <x v="87"/>
  </r>
  <r>
    <s v="C0093"/>
    <x v="82"/>
    <x v="2"/>
    <s v="ALEKSANDRA KOWAL"/>
    <s v="aleksandra.kowal@kawiarnia.pl "/>
    <s v="K006"/>
    <n v="7"/>
    <n v="15.68"/>
    <x v="91"/>
    <s v="L142"/>
    <s v="W REALIZACJI"/>
    <s v="Duże zamówienie"/>
    <s v="Średni"/>
    <s v="Mrożona kawa"/>
    <x v="1"/>
    <n v="16"/>
    <n v="0.32000000000000028"/>
    <s v="Aleksandra Kowal"/>
    <s v="kawiarnia.pl "/>
    <s v="A.K"/>
    <s v="Kraków-K006"/>
    <s v="27-08-2024"/>
    <s v="w realizacji"/>
    <x v="88"/>
  </r>
  <r>
    <s v="C0094"/>
    <x v="83"/>
    <x v="3"/>
    <s v="ALEKSANDRA KOWAL"/>
    <s v="aleksandra.kowal@KAWIARNIA.PL"/>
    <s v="K013"/>
    <n v="4"/>
    <n v="22.42"/>
    <x v="92"/>
    <s v="L149"/>
    <s v="W REALIZACJI"/>
    <s v="Standardowe"/>
    <s v="Średni"/>
    <s v="Sałatka Cesar"/>
    <x v="2"/>
    <n v="22"/>
    <n v="-0.42000000000000171"/>
    <s v="Aleksandra Kowal"/>
    <s v="kawiarnia.pl"/>
    <s v="A.K"/>
    <s v="Warszawa-K013"/>
    <s v="26-12-2024"/>
    <s v="w realizacji"/>
    <x v="46"/>
  </r>
  <r>
    <s v="C0095"/>
    <x v="84"/>
    <x v="0"/>
    <s v="natalia krawczyk  "/>
    <s v="natalia.krawczyk@KAWIARNIA.PL"/>
    <s v="K001"/>
    <n v="12"/>
    <n v="8.18"/>
    <x v="93"/>
    <s v="L180"/>
    <s v="  nowe  "/>
    <s v="Duże zamówienie"/>
    <s v="Niski"/>
    <s v="Espresso"/>
    <x v="0"/>
    <n v="9"/>
    <n v="0.82000000000000028"/>
    <s v="Natalia Krawczyk"/>
    <s v="kawiarnia.pl"/>
    <s v="N.K"/>
    <s v="Poznań-K001"/>
    <s v="05-05-2024"/>
    <s v="nowe"/>
    <x v="89"/>
  </r>
  <r>
    <s v="C0096"/>
    <x v="47"/>
    <x v="2"/>
    <s v="PAWEL  Mazur"/>
    <s v="pawel.mazur@kawiarnia.pl"/>
    <s v="K001"/>
    <n v="3"/>
    <n v="8.98"/>
    <x v="94"/>
    <s v="L181"/>
    <s v="  nowe  "/>
    <s v="Standardowe"/>
    <s v="Średni"/>
    <s v="Espresso"/>
    <x v="0"/>
    <n v="9"/>
    <n v="1.9999999999999574E-2"/>
    <s v="Pawel Mazur"/>
    <s v="kawiarnia.pl"/>
    <s v="P.M"/>
    <s v="Kraków-K001"/>
    <s v="13-07-2024"/>
    <s v="nowe"/>
    <x v="90"/>
  </r>
  <r>
    <s v="C0097"/>
    <x v="85"/>
    <x v="0"/>
    <s v="  julia jankowska"/>
    <s v="julia.jankowska@KAWIARNIA.PL"/>
    <s v="K003"/>
    <n v="10"/>
    <n v="14.54"/>
    <x v="95"/>
    <s v="L161"/>
    <s v="Zakonczone"/>
    <s v="Duże zamówienie"/>
    <s v="Niski"/>
    <s v="Latte"/>
    <x v="0"/>
    <n v="14"/>
    <n v="-0.53999999999999915"/>
    <s v="Julia Jankowska"/>
    <s v="kawiarnia.pl"/>
    <s v="J.J"/>
    <s v="Poznań-K003"/>
    <s v="01-11-2024"/>
    <s v="zakonczone"/>
    <x v="91"/>
  </r>
  <r>
    <s v="C0098"/>
    <x v="86"/>
    <x v="2"/>
    <s v="Weronika Duda "/>
    <s v="weronika.duda@KAWIARNIA.PL"/>
    <s v="K008"/>
    <n v="11"/>
    <n v="17.600000000000001"/>
    <x v="96"/>
    <s v="L176"/>
    <s v="Zakonczone"/>
    <s v="Duże zamówienie"/>
    <s v="Średni"/>
    <s v="Smoothie owocowe"/>
    <x v="1"/>
    <n v="18"/>
    <n v="0.39999999999999858"/>
    <s v="Weronika Duda"/>
    <s v="kawiarnia.pl"/>
    <s v="W.D"/>
    <s v="Kraków-K008"/>
    <s v="10-07-2024"/>
    <s v="zakonczone"/>
    <x v="92"/>
  </r>
  <r>
    <s v="C0099"/>
    <x v="87"/>
    <x v="1"/>
    <s v="Weronika Duda "/>
    <s v="weronika.duda@kawiarnia.pl "/>
    <s v="K002"/>
    <n v="8"/>
    <n v="11.77"/>
    <x v="97"/>
    <s v="L186"/>
    <s v="  nowe  "/>
    <s v="Duże zamówienie"/>
    <s v="Niski"/>
    <s v="Cappuccino"/>
    <x v="0"/>
    <n v="13"/>
    <n v="1.2300000000000004"/>
    <s v="Weronika Duda"/>
    <s v="kawiarnia.pl "/>
    <s v="W.D"/>
    <s v="Gdańsk-K002"/>
    <s v="02-06-2024"/>
    <s v="nowe"/>
    <x v="93"/>
  </r>
  <r>
    <s v="C0100"/>
    <x v="18"/>
    <x v="3"/>
    <s v="  julia jankowska"/>
    <s v="julia.jankowska@KAWIARNIA.PL"/>
    <s v="K999"/>
    <n v="7"/>
    <n v="12.4"/>
    <x v="98"/>
    <s v="L140"/>
    <s v="nowe"/>
    <s v="Duże zamówienie"/>
    <s v="Wysoki"/>
    <s v="Brak w katalogu"/>
    <x v="4"/>
    <e v="#N/A"/>
    <e v="#N/A"/>
    <s v="Julia Jankowska"/>
    <s v="kawiarnia.pl"/>
    <s v="J.J"/>
    <s v="Warszawa-K999"/>
    <s v="08-04-2024"/>
    <s v="nowe"/>
    <x v="78"/>
  </r>
  <r>
    <s v="C0101"/>
    <x v="88"/>
    <x v="2"/>
    <s v="ALEKSANDRA KOWAL"/>
    <s v="aleksandra.kowal@kawiarnia.pl "/>
    <s v="K009"/>
    <n v="1"/>
    <n v="7.34"/>
    <x v="99"/>
    <s v="L175"/>
    <s v="W realizacji "/>
    <s v="Standardowe"/>
    <s v="Średni"/>
    <s v="Croissant"/>
    <x v="3"/>
    <n v="8"/>
    <n v="0.66000000000000014"/>
    <s v="Aleksandra Kowal"/>
    <s v="kawiarnia.pl "/>
    <s v="A.K"/>
    <s v="Kraków-K009"/>
    <s v="10-04-2024"/>
    <s v="w realizacji"/>
    <x v="94"/>
  </r>
  <r>
    <s v="C0102"/>
    <x v="89"/>
    <x v="2"/>
    <s v="natalia krawczyk  "/>
    <s v="natalia.krawczyk@KAWIARNIA.PL"/>
    <s v="K999"/>
    <n v="12"/>
    <n v="12.56"/>
    <x v="100"/>
    <s v="L105"/>
    <s v="W REALIZACJI"/>
    <s v="Duże zamówienie"/>
    <s v="Średni"/>
    <s v="Brak w katalogu"/>
    <x v="4"/>
    <e v="#N/A"/>
    <e v="#N/A"/>
    <s v="Natalia Krawczyk"/>
    <s v="kawiarnia.pl"/>
    <s v="N.K"/>
    <s v="Kraków-K999"/>
    <s v="06-04-2024"/>
    <s v="w realizacji"/>
    <x v="78"/>
  </r>
  <r>
    <s v="C0103"/>
    <x v="90"/>
    <x v="2"/>
    <s v="natalia krawczyk  "/>
    <s v="natalia.krawczyk@kawiarnia.pl "/>
    <s v="K004"/>
    <n v="9"/>
    <n v="11.14"/>
    <x v="101"/>
    <s v="L123"/>
    <s v="  nowe  "/>
    <s v="Duże zamówienie"/>
    <s v="Średni"/>
    <s v="Americano"/>
    <x v="0"/>
    <n v="11"/>
    <n v="-0.14000000000000057"/>
    <s v="Natalia Krawczyk"/>
    <s v="kawiarnia.pl "/>
    <s v="N.K"/>
    <s v="Kraków-K004"/>
    <s v="20-01-2024"/>
    <s v="nowe"/>
    <x v="95"/>
  </r>
  <r>
    <s v="C0104"/>
    <x v="91"/>
    <x v="0"/>
    <s v="  julia jankowska"/>
    <s v="julia.jankowska@KAWIARNIA.PL"/>
    <s v="K006"/>
    <n v="4"/>
    <n v="15.1"/>
    <x v="102"/>
    <s v="L182"/>
    <s v="  nowe  "/>
    <s v="Standardowe"/>
    <s v="Niski"/>
    <s v="Mrożona kawa"/>
    <x v="1"/>
    <n v="16"/>
    <n v="0.90000000000000036"/>
    <s v="Julia Jankowska"/>
    <s v="kawiarnia.pl"/>
    <s v="J.J"/>
    <s v="Poznań-K006"/>
    <s v="15-05-2024"/>
    <s v="nowe"/>
    <x v="96"/>
  </r>
  <r>
    <s v="C0105"/>
    <x v="92"/>
    <x v="2"/>
    <s v="michal nowicki"/>
    <s v="michal.nowicki@kawiarnia.pl"/>
    <s v="K007"/>
    <n v="5"/>
    <n v="12.19"/>
    <x v="103"/>
    <s v="L147"/>
    <s v="Zakonczone"/>
    <s v="Standardowe"/>
    <s v="Średni"/>
    <s v="Lemoniada"/>
    <x v="1"/>
    <n v="12"/>
    <n v="-0.1899999999999995"/>
    <s v="Michal Nowicki"/>
    <s v="kawiarnia.pl"/>
    <s v="M.N"/>
    <s v="Kraków-K007"/>
    <s v="23-02-2024"/>
    <s v="zakonczone"/>
    <x v="97"/>
  </r>
  <r>
    <s v="C0106"/>
    <x v="93"/>
    <x v="0"/>
    <s v="  julia jankowska"/>
    <s v="julia.jankowska@kawiarnia.pl "/>
    <s v="K011"/>
    <n v="8"/>
    <n v="8.98"/>
    <x v="104"/>
    <s v="L101"/>
    <s v="  nowe  "/>
    <s v="Duże zamówienie"/>
    <s v="Niski"/>
    <s v="Muffin czekoladowy"/>
    <x v="3"/>
    <n v="9"/>
    <n v="1.9999999999999574E-2"/>
    <s v="Julia Jankowska"/>
    <s v="kawiarnia.pl "/>
    <s v="J.J"/>
    <s v="Poznań-K011"/>
    <s v="05-04-2024"/>
    <s v="nowe"/>
    <x v="90"/>
  </r>
  <r>
    <s v="C0107"/>
    <x v="48"/>
    <x v="4"/>
    <s v="ALEKSANDRA KOWAL"/>
    <s v="aleksandra.kowal@KAWIARNIA.PL"/>
    <s v="K001"/>
    <n v="7"/>
    <n v="9.06"/>
    <x v="105"/>
    <s v="L147"/>
    <s v="W realizacji "/>
    <s v="Duże zamówienie"/>
    <s v="Niski"/>
    <s v="Espresso"/>
    <x v="0"/>
    <n v="9"/>
    <n v="-6.0000000000000497E-2"/>
    <s v="Aleksandra Kowal"/>
    <s v="kawiarnia.pl"/>
    <s v="A.K"/>
    <s v="Wrocław-K001"/>
    <s v="15-01-2024"/>
    <s v="w realizacji"/>
    <x v="98"/>
  </r>
  <r>
    <s v="C0108"/>
    <x v="83"/>
    <x v="3"/>
    <s v="  Bartosz Zajac"/>
    <s v="bartosz.zajac@KAWIARNIA.PL"/>
    <s v="K010"/>
    <n v="6"/>
    <n v="15.02"/>
    <x v="106"/>
    <s v="L140"/>
    <s v="W realizacji "/>
    <s v="Standardowe"/>
    <s v="Wysoki"/>
    <s v="Sernik"/>
    <x v="3"/>
    <n v="15"/>
    <n v="-1.9999999999999574E-2"/>
    <s v="Bartosz Zajac"/>
    <s v="kawiarnia.pl"/>
    <s v="B.Z"/>
    <s v="Warszawa-K010"/>
    <s v="26-12-2024"/>
    <s v="w realizacji"/>
    <x v="99"/>
  </r>
  <r>
    <s v="C0109"/>
    <x v="91"/>
    <x v="0"/>
    <s v="  Bartosz Zajac"/>
    <s v="bartosz.zajac@kawiarnia.pl "/>
    <s v="K011"/>
    <n v="5"/>
    <n v="9.23"/>
    <x v="107"/>
    <s v="L168"/>
    <s v="nowe"/>
    <s v="Standardowe"/>
    <s v="Niski"/>
    <s v="Muffin czekoladowy"/>
    <x v="3"/>
    <n v="9"/>
    <n v="-0.23000000000000043"/>
    <s v="Bartosz Zajac"/>
    <s v="kawiarnia.pl "/>
    <s v="B.Z"/>
    <s v="Poznań-K011"/>
    <s v="15-05-2024"/>
    <s v="nowe"/>
    <x v="100"/>
  </r>
  <r>
    <s v="C0110"/>
    <x v="94"/>
    <x v="0"/>
    <s v="ALEKSANDRA KOWAL"/>
    <s v="aleksandra.kowal@KAWIARNIA.PL"/>
    <s v="K002"/>
    <n v="6"/>
    <n v="12.46"/>
    <x v="108"/>
    <s v="L141"/>
    <s v="W REALIZACJI"/>
    <s v="Standardowe"/>
    <s v="Niski"/>
    <s v="Cappuccino"/>
    <x v="0"/>
    <n v="13"/>
    <n v="0.53999999999999915"/>
    <s v="Aleksandra Kowal"/>
    <s v="kawiarnia.pl"/>
    <s v="A.K"/>
    <s v="Poznań-K002"/>
    <s v="14-02-2024"/>
    <s v="w realizacji"/>
    <x v="101"/>
  </r>
  <r>
    <s v="C0111"/>
    <x v="84"/>
    <x v="3"/>
    <s v="  Bartosz Zajac"/>
    <s v="bartosz.zajac@kawiarnia.pl "/>
    <s v="K009"/>
    <n v="7"/>
    <n v="7.4"/>
    <x v="109"/>
    <s v="L183"/>
    <s v="nowe"/>
    <s v="Duże zamówienie"/>
    <s v="Wysoki"/>
    <s v="Croissant"/>
    <x v="3"/>
    <n v="8"/>
    <n v="0.59999999999999964"/>
    <s v="Bartosz Zajac"/>
    <s v="kawiarnia.pl "/>
    <s v="B.Z"/>
    <s v="Warszawa-K009"/>
    <s v="05-05-2024"/>
    <s v="nowe"/>
    <x v="102"/>
  </r>
  <r>
    <s v="C0112"/>
    <x v="95"/>
    <x v="4"/>
    <s v="natalia krawczyk  "/>
    <s v="natalia.krawczyk@KAWIARNIA.PL"/>
    <s v="K012"/>
    <n v="3"/>
    <n v="15.73"/>
    <x v="110"/>
    <s v="L190"/>
    <s v="Zakonczone"/>
    <s v="Standardowe"/>
    <s v="Niski"/>
    <s v="Bagietka z szynką"/>
    <x v="2"/>
    <n v="17"/>
    <n v="1.2699999999999996"/>
    <s v="Natalia Krawczyk"/>
    <s v="kawiarnia.pl"/>
    <s v="N.K"/>
    <s v="Wrocław-K012"/>
    <s v="23-06-2024"/>
    <s v="zakonczone"/>
    <x v="103"/>
  </r>
  <r>
    <s v="C0113"/>
    <x v="96"/>
    <x v="3"/>
    <s v="michal nowicki"/>
    <s v="michal.nowicki@kawiarnia.pl"/>
    <s v="K999"/>
    <n v="6"/>
    <n v="11.64"/>
    <x v="111"/>
    <s v="L107"/>
    <s v="W REALIZACJI"/>
    <s v="Standardowe"/>
    <s v="Wysoki"/>
    <s v="Brak w katalogu"/>
    <x v="4"/>
    <e v="#N/A"/>
    <e v="#N/A"/>
    <s v="Michal Nowicki"/>
    <s v="kawiarnia.pl"/>
    <s v="M.N"/>
    <s v="Warszawa-K999"/>
    <s v="09-12-2024"/>
    <s v="w realizacji"/>
    <x v="78"/>
  </r>
  <r>
    <s v="C0114"/>
    <x v="97"/>
    <x v="4"/>
    <s v="PAWEL  Mazur"/>
    <s v="pawel.mazur@kawiarnia.pl"/>
    <s v="K004"/>
    <n v="1"/>
    <n v="10.31"/>
    <x v="112"/>
    <s v="L155"/>
    <s v="nowe"/>
    <s v="Standardowe"/>
    <s v="Niski"/>
    <s v="Americano"/>
    <x v="0"/>
    <n v="11"/>
    <n v="0.6899999999999995"/>
    <s v="Pawel Mazur"/>
    <s v="kawiarnia.pl"/>
    <s v="P.M"/>
    <s v="Wrocław-K004"/>
    <s v="27-05-2024"/>
    <s v="nowe"/>
    <x v="104"/>
  </r>
  <r>
    <s v="C0115"/>
    <x v="98"/>
    <x v="3"/>
    <s v="  Bartosz Zajac"/>
    <s v="bartosz.zajac@KAWIARNIA.PL"/>
    <s v="K011"/>
    <n v="4"/>
    <n v="8.5299999999999994"/>
    <x v="113"/>
    <s v="L149"/>
    <s v="Zakonczone"/>
    <s v="Standardowe"/>
    <s v="Średni"/>
    <s v="Muffin czekoladowy"/>
    <x v="3"/>
    <n v="9"/>
    <n v="0.47000000000000064"/>
    <s v="Bartosz Zajac"/>
    <s v="kawiarnia.pl"/>
    <s v="B.Z"/>
    <s v="Warszawa-K011"/>
    <s v="02-11-2024"/>
    <s v="zakonczone"/>
    <x v="86"/>
  </r>
  <r>
    <s v="C0116"/>
    <x v="99"/>
    <x v="1"/>
    <s v="natalia krawczyk  "/>
    <s v="natalia.krawczyk@KAWIARNIA.PL"/>
    <s v="K014"/>
    <n v="9"/>
    <n v="5.81"/>
    <x v="114"/>
    <s v="L153"/>
    <s v="W REALIZACJI"/>
    <s v="Duże zamówienie"/>
    <s v="Niski"/>
    <s v="Batonik musli"/>
    <x v="2"/>
    <n v="6"/>
    <n v="0.19000000000000039"/>
    <s v="Natalia Krawczyk"/>
    <s v="kawiarnia.pl"/>
    <s v="N.K"/>
    <s v="Gdańsk-K014"/>
    <s v="12-03-2024"/>
    <s v="w realizacji"/>
    <x v="105"/>
  </r>
  <r>
    <s v="C0117"/>
    <x v="100"/>
    <x v="2"/>
    <s v="PAWEL  Mazur"/>
    <s v="pawel.mazur@kawiarnia.pl "/>
    <s v="K999"/>
    <n v="4"/>
    <n v="12.37"/>
    <x v="115"/>
    <s v="L159"/>
    <s v="W realizacji "/>
    <s v="Standardowe"/>
    <s v="Średni"/>
    <s v="Brak w katalogu"/>
    <x v="4"/>
    <e v="#N/A"/>
    <e v="#N/A"/>
    <s v="Pawel Mazur"/>
    <s v="kawiarnia.pl "/>
    <s v="P.M"/>
    <s v="Kraków-K999"/>
    <s v="16-08-2024"/>
    <s v="w realizacji"/>
    <x v="78"/>
  </r>
  <r>
    <s v="C0118"/>
    <x v="101"/>
    <x v="3"/>
    <s v="michal nowicki"/>
    <s v="michal.nowicki@kawiarnia.pl"/>
    <s v="K999"/>
    <n v="4"/>
    <n v="11.29"/>
    <x v="116"/>
    <s v="L155"/>
    <s v="nowe"/>
    <s v="Standardowe"/>
    <s v="Średni"/>
    <s v="Brak w katalogu"/>
    <x v="4"/>
    <e v="#N/A"/>
    <e v="#N/A"/>
    <s v="Michal Nowicki"/>
    <s v="kawiarnia.pl"/>
    <s v="M.N"/>
    <s v="Warszawa-K999"/>
    <s v="15-04-2024"/>
    <s v="nowe"/>
    <x v="78"/>
  </r>
  <r>
    <s v="C0119"/>
    <x v="102"/>
    <x v="3"/>
    <s v="  Bartosz Zajac"/>
    <s v="bartosz.zajac@KAWIARNIA.PL"/>
    <s v="K002"/>
    <n v="2"/>
    <n v="11.83"/>
    <x v="117"/>
    <s v="L102"/>
    <s v="W realizacji "/>
    <s v="Standardowe"/>
    <s v="Średni"/>
    <s v="Cappuccino"/>
    <x v="0"/>
    <n v="13"/>
    <n v="1.17"/>
    <s v="Bartosz Zajac"/>
    <s v="kawiarnia.pl"/>
    <s v="B.Z"/>
    <s v="Warszawa-K002"/>
    <s v="06-02-2024"/>
    <s v="w realizacji"/>
    <x v="106"/>
  </r>
  <r>
    <s v="C0120"/>
    <x v="103"/>
    <x v="4"/>
    <s v="  julia jankowska"/>
    <s v="julia.jankowska@KAWIARNIA.PL"/>
    <s v="K010"/>
    <n v="1"/>
    <n v="14.46"/>
    <x v="118"/>
    <s v="L160"/>
    <s v="W REALIZACJI"/>
    <s v="Standardowe"/>
    <s v="Niski"/>
    <s v="Sernik"/>
    <x v="3"/>
    <n v="15"/>
    <n v="0.53999999999999915"/>
    <s v="Julia Jankowska"/>
    <s v="kawiarnia.pl"/>
    <s v="J.J"/>
    <s v="Wrocław-K010"/>
    <s v="17-05-2024"/>
    <s v="w realizacji"/>
    <x v="107"/>
  </r>
  <r>
    <s v="C0121"/>
    <x v="104"/>
    <x v="0"/>
    <s v="  julia jankowska"/>
    <s v="julia.jankowska@KAWIARNIA.PL"/>
    <s v="K012"/>
    <n v="5"/>
    <n v="16.98"/>
    <x v="119"/>
    <s v="L139"/>
    <s v="Zakonczone"/>
    <s v="Standardowe"/>
    <s v="Niski"/>
    <s v="Bagietka z szynką"/>
    <x v="2"/>
    <n v="17"/>
    <n v="1.9999999999999574E-2"/>
    <s v="Julia Jankowska"/>
    <s v="kawiarnia.pl"/>
    <s v="J.J"/>
    <s v="Poznań-K012"/>
    <s v="19-09-2024"/>
    <s v="zakonczone"/>
    <x v="108"/>
  </r>
  <r>
    <s v="C0122"/>
    <x v="63"/>
    <x v="2"/>
    <s v="natalia krawczyk  "/>
    <s v="natalia.krawczyk@KAWIARNIA.PL"/>
    <s v="K006"/>
    <n v="12"/>
    <n v="15.96"/>
    <x v="120"/>
    <s v="L178"/>
    <s v="  nowe  "/>
    <s v="Duże zamówienie"/>
    <s v="Średni"/>
    <s v="Mrożona kawa"/>
    <x v="1"/>
    <n v="16"/>
    <n v="3.9999999999999147E-2"/>
    <s v="Natalia Krawczyk"/>
    <s v="kawiarnia.pl"/>
    <s v="N.K"/>
    <s v="Kraków-K006"/>
    <s v="22-01-2024"/>
    <s v="nowe"/>
    <x v="109"/>
  </r>
  <r>
    <s v="C0123"/>
    <x v="32"/>
    <x v="4"/>
    <s v="Kamil WOZNIAK"/>
    <s v="kamil.wozniak@kawiarnia.pl "/>
    <s v="K001"/>
    <n v="3"/>
    <n v="8.75"/>
    <x v="121"/>
    <s v="L115"/>
    <s v="W REALIZACJI"/>
    <s v="Standardowe"/>
    <s v="Niski"/>
    <s v="Espresso"/>
    <x v="0"/>
    <n v="9"/>
    <n v="0.25"/>
    <s v="Kamil Wozniak"/>
    <s v="kawiarnia.pl "/>
    <s v="K.W"/>
    <s v="Wrocław-K001"/>
    <s v="26-02-2024"/>
    <s v="w realizacji"/>
    <x v="110"/>
  </r>
  <r>
    <s v="C0124"/>
    <x v="73"/>
    <x v="2"/>
    <s v="  Bartosz Zajac"/>
    <s v="bartosz.zajac@kawiarnia.pl "/>
    <s v="K002"/>
    <n v="10"/>
    <n v="13.47"/>
    <x v="122"/>
    <s v="L133"/>
    <s v="nowe"/>
    <s v="Duże zamówienie"/>
    <s v="Średni"/>
    <s v="Cappuccino"/>
    <x v="0"/>
    <n v="13"/>
    <n v="-0.47000000000000064"/>
    <s v="Bartosz Zajac"/>
    <s v="kawiarnia.pl "/>
    <s v="B.Z"/>
    <s v="Kraków-K002"/>
    <s v="13-04-2024"/>
    <s v="nowe"/>
    <x v="111"/>
  </r>
  <r>
    <s v="C0125"/>
    <x v="44"/>
    <x v="2"/>
    <s v="michal nowicki"/>
    <s v="michal.nowicki@kawiarnia.pl "/>
    <s v="K011"/>
    <n v="10"/>
    <n v="8.7100000000000009"/>
    <x v="123"/>
    <s v="L134"/>
    <s v="W realizacji "/>
    <s v="Duże zamówienie"/>
    <s v="Średni"/>
    <s v="Muffin czekoladowy"/>
    <x v="3"/>
    <n v="9"/>
    <n v="0.28999999999999915"/>
    <s v="Michal Nowicki"/>
    <s v="kawiarnia.pl "/>
    <s v="M.N"/>
    <s v="Kraków-K011"/>
    <s v="03-05-2024"/>
    <s v="w realizacji"/>
    <x v="112"/>
  </r>
  <r>
    <s v="C0126"/>
    <x v="105"/>
    <x v="4"/>
    <s v="Weronika Duda "/>
    <s v="weronika.duda@KAWIARNIA.PL"/>
    <s v="K012"/>
    <n v="8"/>
    <n v="16.670000000000002"/>
    <x v="124"/>
    <s v="L196"/>
    <s v="  nowe  "/>
    <s v="Duże zamówienie"/>
    <s v="Niski"/>
    <s v="Bagietka z szynką"/>
    <x v="2"/>
    <n v="17"/>
    <n v="0.32999999999999829"/>
    <s v="Weronika Duda"/>
    <s v="kawiarnia.pl"/>
    <s v="W.D"/>
    <s v="Wrocław-K012"/>
    <s v="22-10-2024"/>
    <s v="nowe"/>
    <x v="113"/>
  </r>
  <r>
    <s v="C0127"/>
    <x v="84"/>
    <x v="1"/>
    <s v="ALEKSANDRA KOWAL"/>
    <s v="aleksandra.kowal@KAWIARNIA.PL"/>
    <s v="K011"/>
    <n v="2"/>
    <n v="8.33"/>
    <x v="125"/>
    <s v="L130"/>
    <s v="Zakonczone"/>
    <s v="Standardowe"/>
    <s v="Niski"/>
    <s v="Muffin czekoladowy"/>
    <x v="3"/>
    <n v="9"/>
    <n v="0.66999999999999993"/>
    <s v="Aleksandra Kowal"/>
    <s v="kawiarnia.pl"/>
    <s v="A.K"/>
    <s v="Gdańsk-K011"/>
    <s v="05-05-2024"/>
    <s v="zakonczone"/>
    <x v="83"/>
  </r>
  <r>
    <s v="C0128"/>
    <x v="30"/>
    <x v="1"/>
    <s v="Kamil WOZNIAK"/>
    <s v="kamil.wozniak@kawiarnia.pl "/>
    <s v="K001"/>
    <n v="5"/>
    <n v="8.6199999999999992"/>
    <x v="126"/>
    <s v="L185"/>
    <s v="Zakonczone"/>
    <s v="Standardowe"/>
    <s v="Niski"/>
    <s v="Espresso"/>
    <x v="0"/>
    <n v="9"/>
    <n v="0.38000000000000078"/>
    <s v="Kamil Wozniak"/>
    <s v="kawiarnia.pl "/>
    <s v="K.W"/>
    <s v="Gdańsk-K001"/>
    <s v="05-03-2024"/>
    <s v="zakonczone"/>
    <x v="114"/>
  </r>
  <r>
    <s v="C0129"/>
    <x v="98"/>
    <x v="3"/>
    <s v="ALEKSANDRA KOWAL"/>
    <s v="aleksandra.kowal@kawiarnia.pl "/>
    <s v="K009"/>
    <n v="12"/>
    <n v="7.5"/>
    <x v="127"/>
    <s v="L116"/>
    <s v="W REALIZACJI"/>
    <s v="Duże zamówienie"/>
    <s v="Wysoki"/>
    <s v="Croissant"/>
    <x v="3"/>
    <n v="8"/>
    <n v="0.5"/>
    <s v="Aleksandra Kowal"/>
    <s v="kawiarnia.pl "/>
    <s v="A.K"/>
    <s v="Warszawa-K009"/>
    <s v="02-11-2024"/>
    <s v="w realizacji"/>
    <x v="115"/>
  </r>
  <r>
    <s v="C0130"/>
    <x v="106"/>
    <x v="0"/>
    <s v="  julia jankowska"/>
    <s v="julia.jankowska@kawiarnia.pl "/>
    <s v="K003"/>
    <n v="6"/>
    <n v="13.38"/>
    <x v="69"/>
    <s v="L131"/>
    <s v="W REALIZACJI"/>
    <s v="Standardowe"/>
    <s v="Niski"/>
    <s v="Latte"/>
    <x v="0"/>
    <n v="14"/>
    <n v="0.61999999999999922"/>
    <s v="Julia Jankowska"/>
    <s v="kawiarnia.pl "/>
    <s v="J.J"/>
    <s v="Poznań-K003"/>
    <s v="18-11-2024"/>
    <s v="w realizacji"/>
    <x v="116"/>
  </r>
  <r>
    <s v="C0131"/>
    <x v="107"/>
    <x v="4"/>
    <s v="PAWEL  Mazur"/>
    <s v="pawel.mazur@kawiarnia.pl"/>
    <s v="K010"/>
    <n v="2"/>
    <n v="15.15"/>
    <x v="128"/>
    <s v="L161"/>
    <s v="W realizacji "/>
    <s v="Standardowe"/>
    <s v="Niski"/>
    <s v="Sernik"/>
    <x v="3"/>
    <n v="15"/>
    <n v="-0.15000000000000036"/>
    <s v="Pawel Mazur"/>
    <s v="kawiarnia.pl"/>
    <s v="P.M"/>
    <s v="Wrocław-K010"/>
    <s v="08-12-2024"/>
    <s v="w realizacji"/>
    <x v="117"/>
  </r>
  <r>
    <s v="C0132"/>
    <x v="108"/>
    <x v="2"/>
    <s v="Weronika Duda "/>
    <s v="weronika.duda@KAWIARNIA.PL"/>
    <s v="K008"/>
    <n v="3"/>
    <n v="16.78"/>
    <x v="129"/>
    <s v="L179"/>
    <s v="Zakonczone"/>
    <s v="Standardowe"/>
    <s v="Średni"/>
    <s v="Smoothie owocowe"/>
    <x v="1"/>
    <n v="18"/>
    <n v="1.2199999999999989"/>
    <s v="Weronika Duda"/>
    <s v="kawiarnia.pl"/>
    <s v="W.D"/>
    <s v="Kraków-K008"/>
    <s v="20-10-2024"/>
    <s v="zakonczone"/>
    <x v="118"/>
  </r>
  <r>
    <s v="C0133"/>
    <x v="48"/>
    <x v="1"/>
    <s v="Weronika Duda "/>
    <s v="weronika.duda@KAWIARNIA.PL"/>
    <s v="K999"/>
    <n v="6"/>
    <n v="10.83"/>
    <x v="130"/>
    <s v="L148"/>
    <s v="W REALIZACJI"/>
    <s v="Standardowe"/>
    <s v="Niski"/>
    <s v="Brak w katalogu"/>
    <x v="4"/>
    <e v="#N/A"/>
    <e v="#N/A"/>
    <s v="Weronika Duda"/>
    <s v="kawiarnia.pl"/>
    <s v="W.D"/>
    <s v="Gdańsk-K999"/>
    <s v="15-01-2024"/>
    <s v="w realizacji"/>
    <x v="78"/>
  </r>
  <r>
    <s v="C0134"/>
    <x v="109"/>
    <x v="1"/>
    <s v="PAWEL  Mazur"/>
    <s v="pawel.mazur@kawiarnia.pl "/>
    <s v="K007"/>
    <n v="9"/>
    <n v="12.32"/>
    <x v="71"/>
    <s v="L177"/>
    <s v="W REALIZACJI"/>
    <s v="Duże zamówienie"/>
    <s v="Niski"/>
    <s v="Lemoniada"/>
    <x v="1"/>
    <n v="12"/>
    <n v="-0.32000000000000028"/>
    <s v="Pawel Mazur"/>
    <s v="kawiarnia.pl "/>
    <s v="P.M"/>
    <s v="Gdańsk-K007"/>
    <s v="14-11-2024"/>
    <s v="w realizacji"/>
    <x v="119"/>
  </r>
  <r>
    <s v="C0135"/>
    <x v="76"/>
    <x v="4"/>
    <s v="natalia krawczyk  "/>
    <s v="natalia.krawczyk@KAWIARNIA.PL"/>
    <s v="K013"/>
    <n v="9"/>
    <n v="20.14"/>
    <x v="131"/>
    <s v="L113"/>
    <s v="Zakonczone"/>
    <s v="Duże zamówienie"/>
    <s v="Niski"/>
    <s v="Sałatka Cesar"/>
    <x v="2"/>
    <n v="22"/>
    <n v="1.8599999999999994"/>
    <s v="Natalia Krawczyk"/>
    <s v="kawiarnia.pl"/>
    <s v="N.K"/>
    <s v="Wrocław-K013"/>
    <s v="01-10-2024"/>
    <s v="zakonczone"/>
    <x v="120"/>
  </r>
  <r>
    <s v="C0136"/>
    <x v="38"/>
    <x v="4"/>
    <s v="Kamil WOZNIAK"/>
    <s v="kamil.wozniak@kawiarnia.pl "/>
    <s v="K012"/>
    <n v="8"/>
    <n v="17.84"/>
    <x v="132"/>
    <s v="L178"/>
    <s v="nowe"/>
    <s v="Duże zamówienie"/>
    <s v="Niski"/>
    <s v="Bagietka z szynką"/>
    <x v="2"/>
    <n v="17"/>
    <n v="-0.83999999999999986"/>
    <s v="Kamil Wozniak"/>
    <s v="kawiarnia.pl "/>
    <s v="K.W"/>
    <s v="Wrocław-K012"/>
    <s v="10-08-2024"/>
    <s v="nowe"/>
    <x v="121"/>
  </r>
  <r>
    <s v="C0137"/>
    <x v="110"/>
    <x v="1"/>
    <s v="  julia jankowska"/>
    <s v="julia.jankowska@KAWIARNIA.PL"/>
    <s v="K002"/>
    <n v="12"/>
    <n v="13.02"/>
    <x v="133"/>
    <s v="L182"/>
    <s v="nowe"/>
    <s v="Duże zamówienie"/>
    <s v="Niski"/>
    <s v="Cappuccino"/>
    <x v="0"/>
    <n v="13"/>
    <n v="-1.9999999999999574E-2"/>
    <s v="Julia Jankowska"/>
    <s v="kawiarnia.pl"/>
    <s v="J.J"/>
    <s v="Gdańsk-K002"/>
    <s v="20-08-2024"/>
    <s v="nowe"/>
    <x v="122"/>
  </r>
  <r>
    <s v="C0138"/>
    <x v="111"/>
    <x v="2"/>
    <s v="PAWEL  Mazur"/>
    <s v="pawel.mazur@kawiarnia.pl "/>
    <s v="K004"/>
    <n v="10"/>
    <n v="10.69"/>
    <x v="134"/>
    <s v="L105"/>
    <s v="Zakonczone"/>
    <s v="Duże zamówienie"/>
    <s v="Średni"/>
    <s v="Americano"/>
    <x v="0"/>
    <n v="11"/>
    <n v="0.3100000000000005"/>
    <s v="Pawel Mazur"/>
    <s v="kawiarnia.pl "/>
    <s v="P.M"/>
    <s v="Kraków-K004"/>
    <s v="23-03-2024"/>
    <s v="zakonczone"/>
    <x v="123"/>
  </r>
  <r>
    <s v="C0139"/>
    <x v="112"/>
    <x v="0"/>
    <s v="Weronika Duda "/>
    <s v="weronika.duda@KAWIARNIA.PL"/>
    <s v="K012"/>
    <n v="1"/>
    <n v="15.75"/>
    <x v="135"/>
    <s v="L175"/>
    <s v="nowe"/>
    <s v="Standardowe"/>
    <s v="Niski"/>
    <s v="Bagietka z szynką"/>
    <x v="2"/>
    <n v="17"/>
    <n v="1.25"/>
    <s v="Weronika Duda"/>
    <s v="kawiarnia.pl"/>
    <s v="W.D"/>
    <s v="Poznań-K012"/>
    <s v="21-04-2024"/>
    <s v="nowe"/>
    <x v="124"/>
  </r>
  <r>
    <s v="C0140"/>
    <x v="113"/>
    <x v="0"/>
    <s v="  Bartosz Zajac"/>
    <s v="bartosz.zajac@kawiarnia.pl "/>
    <s v="K010"/>
    <n v="3"/>
    <n v="13.97"/>
    <x v="136"/>
    <s v="L154"/>
    <s v="Zakonczone"/>
    <s v="Standardowe"/>
    <s v="Niski"/>
    <s v="Sernik"/>
    <x v="3"/>
    <n v="15"/>
    <n v="1.0299999999999994"/>
    <s v="Bartosz Zajac"/>
    <s v="kawiarnia.pl "/>
    <s v="B.Z"/>
    <s v="Poznań-K010"/>
    <s v="12-02-2024"/>
    <s v="zakonczone"/>
    <x v="125"/>
  </r>
  <r>
    <m/>
    <x v="114"/>
    <x v="5"/>
    <m/>
    <m/>
    <m/>
    <m/>
    <m/>
    <x v="137"/>
    <m/>
    <m/>
    <m/>
    <m/>
    <m/>
    <x v="5"/>
    <m/>
    <m/>
    <m/>
    <m/>
    <m/>
    <m/>
    <m/>
    <m/>
    <x v="7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FC5EDE-A08A-4122-A02A-14D5E8BF6DD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P2:V5" firstHeaderRow="1" firstDataRow="2" firstDataCol="1"/>
  <pivotFields count="28">
    <pivotField showAll="0"/>
    <pivotField showAll="0">
      <items count="116">
        <item x="35"/>
        <item x="56"/>
        <item x="25"/>
        <item x="6"/>
        <item x="48"/>
        <item x="68"/>
        <item x="90"/>
        <item x="63"/>
        <item x="27"/>
        <item x="9"/>
        <item x="15"/>
        <item x="102"/>
        <item x="43"/>
        <item x="113"/>
        <item x="94"/>
        <item x="62"/>
        <item x="92"/>
        <item x="32"/>
        <item x="30"/>
        <item x="70"/>
        <item x="75"/>
        <item x="99"/>
        <item x="74"/>
        <item x="111"/>
        <item x="65"/>
        <item x="40"/>
        <item x="19"/>
        <item x="10"/>
        <item x="24"/>
        <item x="93"/>
        <item x="89"/>
        <item x="18"/>
        <item x="88"/>
        <item x="73"/>
        <item x="101"/>
        <item x="8"/>
        <item x="5"/>
        <item x="112"/>
        <item x="50"/>
        <item x="37"/>
        <item x="28"/>
        <item x="31"/>
        <item x="41"/>
        <item x="33"/>
        <item x="44"/>
        <item x="84"/>
        <item x="78"/>
        <item x="79"/>
        <item x="91"/>
        <item x="103"/>
        <item x="26"/>
        <item x="97"/>
        <item x="16"/>
        <item x="67"/>
        <item x="87"/>
        <item x="58"/>
        <item x="46"/>
        <item x="14"/>
        <item x="64"/>
        <item x="81"/>
        <item x="12"/>
        <item x="95"/>
        <item x="11"/>
        <item x="86"/>
        <item x="47"/>
        <item x="1"/>
        <item x="2"/>
        <item x="23"/>
        <item x="22"/>
        <item x="53"/>
        <item x="13"/>
        <item x="0"/>
        <item x="57"/>
        <item x="21"/>
        <item x="69"/>
        <item x="38"/>
        <item x="45"/>
        <item x="17"/>
        <item x="34"/>
        <item x="100"/>
        <item x="110"/>
        <item x="82"/>
        <item x="59"/>
        <item x="42"/>
        <item x="52"/>
        <item x="60"/>
        <item x="104"/>
        <item x="4"/>
        <item x="76"/>
        <item x="80"/>
        <item x="29"/>
        <item x="108"/>
        <item x="105"/>
        <item x="39"/>
        <item x="55"/>
        <item x="66"/>
        <item x="85"/>
        <item x="98"/>
        <item x="61"/>
        <item x="7"/>
        <item x="109"/>
        <item x="20"/>
        <item x="106"/>
        <item x="72"/>
        <item x="49"/>
        <item x="51"/>
        <item x="107"/>
        <item x="96"/>
        <item x="3"/>
        <item x="36"/>
        <item x="54"/>
        <item x="71"/>
        <item x="83"/>
        <item x="77"/>
        <item x="114"/>
        <item t="default"/>
      </items>
    </pivotField>
    <pivotField axis="axisRow" multipleItemSelectionAllowed="1" showAll="0">
      <items count="7">
        <item x="1"/>
        <item h="1" x="2"/>
        <item h="1" x="0"/>
        <item h="1" x="3"/>
        <item h="1" x="4"/>
        <item h="1" x="5"/>
        <item t="default"/>
      </items>
    </pivotField>
    <pivotField showAll="0"/>
    <pivotField showAll="0"/>
    <pivotField showAll="0"/>
    <pivotField showAll="0"/>
    <pivotField showAll="0"/>
    <pivotField dataField="1" showAll="0"/>
    <pivotField showAll="0"/>
    <pivotField showAll="0"/>
    <pivotField showAll="0"/>
    <pivotField showAll="0"/>
    <pivotField showAll="0"/>
    <pivotField axis="axisCol" showAll="0">
      <items count="7">
        <item x="4"/>
        <item x="0"/>
        <item x="1"/>
        <item x="2"/>
        <item x="3"/>
        <item x="5"/>
        <item t="default"/>
      </items>
    </pivotField>
    <pivotField showAll="0"/>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sd="0" x="1"/>
        <item sd="0" x="2"/>
        <item sd="0" x="3"/>
        <item sd="0" x="4"/>
        <item sd="0" x="5"/>
        <item sd="0" x="6"/>
        <item sd="0" x="7"/>
        <item sd="0" x="8"/>
        <item sd="0" x="9"/>
        <item sd="0" x="10"/>
        <item sd="0" x="11"/>
        <item sd="0" x="12"/>
        <item h="1" sd="0" x="13"/>
        <item t="default"/>
      </items>
    </pivotField>
    <pivotField dragToRow="0" dragToCol="0" dragToPage="0" showAll="0" defaultSubtotal="0"/>
    <pivotField dragToRow="0" dragToCol="0" dragToPage="0" showAll="0" defaultSubtotal="0"/>
  </pivotFields>
  <rowFields count="1">
    <field x="2"/>
  </rowFields>
  <rowItems count="2">
    <i>
      <x/>
    </i>
    <i t="grand">
      <x/>
    </i>
  </rowItems>
  <colFields count="1">
    <field x="14"/>
  </colFields>
  <colItems count="6">
    <i>
      <x/>
    </i>
    <i>
      <x v="1"/>
    </i>
    <i>
      <x v="2"/>
    </i>
    <i>
      <x v="3"/>
    </i>
    <i>
      <x v="4"/>
    </i>
    <i t="grand">
      <x/>
    </i>
  </colItems>
  <dataFields count="1">
    <dataField name="Sum of Przychod" fld="8" showDataAs="percentOfRow" baseField="0" baseItem="0" numFmtId="10"/>
  </dataFields>
  <chartFormats count="10">
    <chartFormat chart="8" format="249" series="1">
      <pivotArea type="data" outline="0" fieldPosition="0">
        <references count="2">
          <reference field="4294967294" count="1" selected="0">
            <x v="0"/>
          </reference>
          <reference field="2" count="1" selected="0">
            <x v="0"/>
          </reference>
        </references>
      </pivotArea>
    </chartFormat>
    <chartFormat chart="8" format="250" series="1">
      <pivotArea type="data" outline="0" fieldPosition="0">
        <references count="2">
          <reference field="4294967294" count="1" selected="0">
            <x v="0"/>
          </reference>
          <reference field="2" count="1" selected="0">
            <x v="1"/>
          </reference>
        </references>
      </pivotArea>
    </chartFormat>
    <chartFormat chart="8" format="251" series="1">
      <pivotArea type="data" outline="0" fieldPosition="0">
        <references count="2">
          <reference field="4294967294" count="1" selected="0">
            <x v="0"/>
          </reference>
          <reference field="2" count="1" selected="0">
            <x v="2"/>
          </reference>
        </references>
      </pivotArea>
    </chartFormat>
    <chartFormat chart="8" format="252" series="1">
      <pivotArea type="data" outline="0" fieldPosition="0">
        <references count="2">
          <reference field="4294967294" count="1" selected="0">
            <x v="0"/>
          </reference>
          <reference field="2" count="1" selected="0">
            <x v="3"/>
          </reference>
        </references>
      </pivotArea>
    </chartFormat>
    <chartFormat chart="8" format="253" series="1">
      <pivotArea type="data" outline="0" fieldPosition="0">
        <references count="2">
          <reference field="4294967294" count="1" selected="0">
            <x v="0"/>
          </reference>
          <reference field="2" count="1" selected="0">
            <x v="4"/>
          </reference>
        </references>
      </pivotArea>
    </chartFormat>
    <chartFormat chart="9" format="254" series="1">
      <pivotArea type="data" outline="0" fieldPosition="0">
        <references count="2">
          <reference field="4294967294" count="1" selected="0">
            <x v="0"/>
          </reference>
          <reference field="2" count="1" selected="0">
            <x v="0"/>
          </reference>
        </references>
      </pivotArea>
    </chartFormat>
    <chartFormat chart="9" format="255" series="1">
      <pivotArea type="data" outline="0" fieldPosition="0">
        <references count="2">
          <reference field="4294967294" count="1" selected="0">
            <x v="0"/>
          </reference>
          <reference field="2" count="1" selected="0">
            <x v="1"/>
          </reference>
        </references>
      </pivotArea>
    </chartFormat>
    <chartFormat chart="9" format="256" series="1">
      <pivotArea type="data" outline="0" fieldPosition="0">
        <references count="2">
          <reference field="4294967294" count="1" selected="0">
            <x v="0"/>
          </reference>
          <reference field="2" count="1" selected="0">
            <x v="2"/>
          </reference>
        </references>
      </pivotArea>
    </chartFormat>
    <chartFormat chart="9" format="257" series="1">
      <pivotArea type="data" outline="0" fieldPosition="0">
        <references count="2">
          <reference field="4294967294" count="1" selected="0">
            <x v="0"/>
          </reference>
          <reference field="2" count="1" selected="0">
            <x v="3"/>
          </reference>
        </references>
      </pivotArea>
    </chartFormat>
    <chartFormat chart="9" format="258"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DF129E-1E2E-4AFA-AE83-86E285CA32D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M15" firstHeaderRow="1" firstDataRow="3" firstDataCol="1"/>
  <pivotFields count="28">
    <pivotField showAll="0"/>
    <pivotField showAll="0">
      <items count="116">
        <item x="35"/>
        <item x="56"/>
        <item x="25"/>
        <item x="6"/>
        <item x="48"/>
        <item x="68"/>
        <item x="90"/>
        <item x="63"/>
        <item x="27"/>
        <item x="9"/>
        <item x="15"/>
        <item x="102"/>
        <item x="43"/>
        <item x="113"/>
        <item x="94"/>
        <item x="62"/>
        <item x="92"/>
        <item x="32"/>
        <item x="30"/>
        <item x="70"/>
        <item x="75"/>
        <item x="99"/>
        <item x="74"/>
        <item x="111"/>
        <item x="65"/>
        <item x="40"/>
        <item x="19"/>
        <item x="10"/>
        <item x="24"/>
        <item x="93"/>
        <item x="89"/>
        <item x="18"/>
        <item x="88"/>
        <item x="73"/>
        <item x="101"/>
        <item x="8"/>
        <item x="5"/>
        <item x="112"/>
        <item x="50"/>
        <item x="37"/>
        <item x="28"/>
        <item x="31"/>
        <item x="41"/>
        <item x="33"/>
        <item x="44"/>
        <item x="84"/>
        <item x="78"/>
        <item x="79"/>
        <item x="91"/>
        <item x="103"/>
        <item x="26"/>
        <item x="97"/>
        <item x="16"/>
        <item x="67"/>
        <item x="87"/>
        <item x="58"/>
        <item x="46"/>
        <item x="14"/>
        <item x="64"/>
        <item x="81"/>
        <item x="12"/>
        <item x="95"/>
        <item x="11"/>
        <item x="86"/>
        <item x="47"/>
        <item x="1"/>
        <item x="2"/>
        <item x="23"/>
        <item x="22"/>
        <item x="53"/>
        <item x="13"/>
        <item x="0"/>
        <item x="57"/>
        <item x="21"/>
        <item x="69"/>
        <item x="38"/>
        <item x="45"/>
        <item x="17"/>
        <item x="34"/>
        <item x="100"/>
        <item x="110"/>
        <item x="82"/>
        <item x="59"/>
        <item x="42"/>
        <item x="52"/>
        <item x="60"/>
        <item x="104"/>
        <item x="4"/>
        <item x="76"/>
        <item x="80"/>
        <item x="29"/>
        <item x="108"/>
        <item x="105"/>
        <item x="39"/>
        <item x="55"/>
        <item x="66"/>
        <item x="85"/>
        <item x="98"/>
        <item x="61"/>
        <item x="7"/>
        <item x="109"/>
        <item x="20"/>
        <item x="106"/>
        <item x="72"/>
        <item x="49"/>
        <item x="51"/>
        <item x="107"/>
        <item x="96"/>
        <item x="3"/>
        <item x="36"/>
        <item x="54"/>
        <item x="71"/>
        <item x="83"/>
        <item x="77"/>
        <item x="114"/>
        <item t="default"/>
      </items>
    </pivotField>
    <pivotField axis="axisRow" multipleItemSelectionAllowed="1" showAll="0">
      <items count="7">
        <item x="1"/>
        <item h="1" x="2"/>
        <item h="1" x="0"/>
        <item h="1" x="3"/>
        <item h="1" x="4"/>
        <item h="1" x="5"/>
        <item t="default"/>
      </items>
    </pivotField>
    <pivotField showAll="0"/>
    <pivotField showAll="0"/>
    <pivotField showAll="0"/>
    <pivotField showAll="0"/>
    <pivotField showAll="0"/>
    <pivotField dataField="1" showAll="0"/>
    <pivotField showAll="0"/>
    <pivotField showAll="0"/>
    <pivotField showAll="0"/>
    <pivotField showAll="0"/>
    <pivotField showAll="0"/>
    <pivotField axis="axisCol" showAll="0">
      <items count="7">
        <item x="4"/>
        <item x="0"/>
        <item x="1"/>
        <item x="2"/>
        <item x="3"/>
        <item x="5"/>
        <item t="default"/>
      </items>
    </pivotField>
    <pivotField showAll="0"/>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sd="0" x="10"/>
        <item sd="0" x="11"/>
        <item sd="0" x="12"/>
        <item h="1" sd="0" x="13"/>
        <item t="default"/>
      </items>
    </pivotField>
    <pivotField dragToRow="0" dragToCol="0" dragToPage="0" showAll="0" defaultSubtotal="0"/>
    <pivotField dataField="1" dragToRow="0" dragToCol="0" dragToPage="0" showAll="0" defaultSubtotal="0"/>
  </pivotFields>
  <rowFields count="2">
    <field x="2"/>
    <field x="25"/>
  </rowFields>
  <rowItems count="12">
    <i>
      <x/>
    </i>
    <i r="1">
      <x v="1"/>
    </i>
    <i r="1">
      <x v="2"/>
    </i>
    <i r="1">
      <x v="3"/>
    </i>
    <i r="1">
      <x v="4"/>
    </i>
    <i r="1">
      <x v="5"/>
    </i>
    <i r="1">
      <x v="6"/>
    </i>
    <i r="1">
      <x v="7"/>
    </i>
    <i r="1">
      <x v="8"/>
    </i>
    <i r="1">
      <x v="10"/>
    </i>
    <i r="1">
      <x v="11"/>
    </i>
    <i t="grand">
      <x/>
    </i>
  </rowItems>
  <colFields count="2">
    <field x="14"/>
    <field x="-2"/>
  </colFields>
  <colItems count="12">
    <i>
      <x/>
      <x/>
    </i>
    <i r="1" i="1">
      <x v="1"/>
    </i>
    <i>
      <x v="1"/>
      <x/>
    </i>
    <i r="1" i="1">
      <x v="1"/>
    </i>
    <i>
      <x v="2"/>
      <x/>
    </i>
    <i r="1" i="1">
      <x v="1"/>
    </i>
    <i>
      <x v="3"/>
      <x/>
    </i>
    <i r="1" i="1">
      <x v="1"/>
    </i>
    <i>
      <x v="4"/>
      <x/>
    </i>
    <i r="1" i="1">
      <x v="1"/>
    </i>
    <i t="grand">
      <x/>
    </i>
    <i t="grand" i="1">
      <x/>
    </i>
  </colItems>
  <dataFields count="2">
    <dataField name="Sum of Przychod" fld="8" baseField="0" baseItem="0"/>
    <dataField name="AVG_za_sztuke" fld="27" subtotal="average" baseField="2" baseItem="0"/>
  </dataFields>
  <chartFormats count="10">
    <chartFormat chart="8" format="249" series="1">
      <pivotArea type="data" outline="0" fieldPosition="0">
        <references count="2">
          <reference field="4294967294" count="1" selected="0">
            <x v="0"/>
          </reference>
          <reference field="2" count="1" selected="0">
            <x v="0"/>
          </reference>
        </references>
      </pivotArea>
    </chartFormat>
    <chartFormat chart="8" format="250" series="1">
      <pivotArea type="data" outline="0" fieldPosition="0">
        <references count="2">
          <reference field="4294967294" count="1" selected="0">
            <x v="0"/>
          </reference>
          <reference field="2" count="1" selected="0">
            <x v="1"/>
          </reference>
        </references>
      </pivotArea>
    </chartFormat>
    <chartFormat chart="8" format="251" series="1">
      <pivotArea type="data" outline="0" fieldPosition="0">
        <references count="2">
          <reference field="4294967294" count="1" selected="0">
            <x v="0"/>
          </reference>
          <reference field="2" count="1" selected="0">
            <x v="2"/>
          </reference>
        </references>
      </pivotArea>
    </chartFormat>
    <chartFormat chart="8" format="252" series="1">
      <pivotArea type="data" outline="0" fieldPosition="0">
        <references count="2">
          <reference field="4294967294" count="1" selected="0">
            <x v="0"/>
          </reference>
          <reference field="2" count="1" selected="0">
            <x v="3"/>
          </reference>
        </references>
      </pivotArea>
    </chartFormat>
    <chartFormat chart="8" format="253" series="1">
      <pivotArea type="data" outline="0" fieldPosition="0">
        <references count="2">
          <reference field="4294967294" count="1" selected="0">
            <x v="0"/>
          </reference>
          <reference field="2" count="1" selected="0">
            <x v="4"/>
          </reference>
        </references>
      </pivotArea>
    </chartFormat>
    <chartFormat chart="9" format="254" series="1">
      <pivotArea type="data" outline="0" fieldPosition="0">
        <references count="2">
          <reference field="4294967294" count="1" selected="0">
            <x v="0"/>
          </reference>
          <reference field="2" count="1" selected="0">
            <x v="0"/>
          </reference>
        </references>
      </pivotArea>
    </chartFormat>
    <chartFormat chart="9" format="255" series="1">
      <pivotArea type="data" outline="0" fieldPosition="0">
        <references count="2">
          <reference field="4294967294" count="1" selected="0">
            <x v="0"/>
          </reference>
          <reference field="2" count="1" selected="0">
            <x v="1"/>
          </reference>
        </references>
      </pivotArea>
    </chartFormat>
    <chartFormat chart="9" format="256" series="1">
      <pivotArea type="data" outline="0" fieldPosition="0">
        <references count="2">
          <reference field="4294967294" count="1" selected="0">
            <x v="0"/>
          </reference>
          <reference field="2" count="1" selected="0">
            <x v="2"/>
          </reference>
        </references>
      </pivotArea>
    </chartFormat>
    <chartFormat chart="9" format="257" series="1">
      <pivotArea type="data" outline="0" fieldPosition="0">
        <references count="2">
          <reference field="4294967294" count="1" selected="0">
            <x v="0"/>
          </reference>
          <reference field="2" count="1" selected="0">
            <x v="3"/>
          </reference>
        </references>
      </pivotArea>
    </chartFormat>
    <chartFormat chart="9" format="258"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kalizacja" xr10:uid="{23BB831A-2872-4E55-8874-479BBBC29A6E}" sourceName="Lokalizacja">
  <pivotTables>
    <pivotTable tabId="13" name="PivotTable4"/>
    <pivotTable tabId="13" name="PivotTable5"/>
  </pivotTables>
  <data>
    <tabular pivotCacheId="945707406">
      <items count="6">
        <i x="1" s="1"/>
        <i x="2"/>
        <i x="0"/>
        <i x="3"/>
        <i x="4"/>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kalizacja" xr10:uid="{44E4B20B-3C33-4096-BC16-888EDFF98274}" cache="Slicer_Lokalizacja" caption="Lokalizacja"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A6EAF5-D419-4EF8-8D78-65355FE581A3}" name="Table1" displayName="Table1" ref="A1:X141" totalsRowShown="0" headerRowDxfId="14">
  <autoFilter ref="A1:X141" xr:uid="{BFA6EAF5-D419-4EF8-8D78-65355FE581A3}"/>
  <tableColumns count="24">
    <tableColumn id="1" xr3:uid="{D562C44A-E272-4AD2-A9CC-12FF5D184DFF}" name="ID_Transakcji" dataDxfId="13"/>
    <tableColumn id="2" xr3:uid="{210FD538-1532-4E75-BCD6-0A1663A9314D}" name="Data" dataDxfId="12"/>
    <tableColumn id="3" xr3:uid="{1AEBD184-FAE2-4D8D-A074-79DF4BB4DB5A}" name="Lokalizacja" dataDxfId="11"/>
    <tableColumn id="4" xr3:uid="{E2ABED42-3F1F-4DB4-B64C-301497023797}" name="Barista_surowe" dataDxfId="10"/>
    <tableColumn id="5" xr3:uid="{41417EEE-FA9C-4E4D-885C-27629E8E63E5}" name="Email_surowy" dataDxfId="9"/>
    <tableColumn id="6" xr3:uid="{87072D0F-7503-444F-9D97-0D4A768ABC6F}" name="ID_Produktu" dataDxfId="8"/>
    <tableColumn id="7" xr3:uid="{13469E87-A2E6-4008-917E-D651DD84D8E4}" name="Ilosc" dataDxfId="7"/>
    <tableColumn id="8" xr3:uid="{3CDCEBDA-529B-40BC-9B20-E0F54D4E9B7D}" name="Cena_jednostkowa" dataDxfId="6"/>
    <tableColumn id="9" xr3:uid="{9B6A61F2-B1DC-4B6C-954D-E786E0E56CE1}" name="Przychod" dataDxfId="5"/>
    <tableColumn id="10" xr3:uid="{F5AAF298-6232-4546-B840-C35AE1DB86AD}" name="ID_Karty" dataDxfId="4"/>
    <tableColumn id="11" xr3:uid="{3B25C6CF-B06A-4F50-BFC7-CDFEF31552BC}" name="Status_surowy" dataDxfId="3"/>
    <tableColumn id="12" xr3:uid="{A0EDC85D-2F14-411E-AD40-EFA9CB82EE6E}" name="Typ_Zamówienia"/>
    <tableColumn id="13" xr3:uid="{A29763B4-94F8-46FA-84A5-8191191F37E8}" name="Priorytet"/>
    <tableColumn id="14" xr3:uid="{FEC68102-0515-4E36-BCC5-5255B5D69C7E}" name="Nazwa_Produktu"/>
    <tableColumn id="15" xr3:uid="{86ADF05D-2F41-42DF-9709-43AAF88E5136}" name="Kategoria_Produktu"/>
    <tableColumn id="16" xr3:uid="{796BB1FD-6CFF-4AD0-A402-EF7D2A4AFB58}" name="Cena_katalogowa" dataDxfId="2"/>
    <tableColumn id="17" xr3:uid="{B044C300-4F33-4E33-8093-FC161E8BE999}" name="Różnica_ceny" dataDxfId="1"/>
    <tableColumn id="18" xr3:uid="{D16A71E6-3293-454E-B865-70A868B0C553}" name="Imię_Nazwisko"/>
    <tableColumn id="19" xr3:uid="{721F08B5-FA44-4B84-A38E-E02BF9A61B05}" name="Domena">
      <calculatedColumnFormula>LOWER(TRIM(_xlfn.TEXTAFTER(E2,"@")))</calculatedColumnFormula>
    </tableColumn>
    <tableColumn id="20" xr3:uid="{62DFDC8F-EBAD-45C8-BFD7-A60A8212EF49}" name="Inicjały">
      <calculatedColumnFormula>_xlfn.CONCAT(LEFT(R2,1),".",LEFT(_xlfn.TEXTAFTER(R2," "),"1"),".")</calculatedColumnFormula>
    </tableColumn>
    <tableColumn id="21" xr3:uid="{3DFE0C6F-A6C2-470D-BE85-5B2D3CE50BF8}" name="Lokalizacja_ID"/>
    <tableColumn id="22" xr3:uid="{6096CD82-BE86-4859-8102-B5763CD0CE70}" name="Data_tekst"/>
    <tableColumn id="23" xr3:uid="{51A199D1-DF0E-4EED-AF58-3B98A404FDE1}" name="Status"/>
    <tableColumn id="24" xr3:uid="{7B569466-D11F-4747-BC69-E6C97E099CA0}" name="Marża" dataDxfId="0"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25"/>
  <sheetViews>
    <sheetView showGridLines="0" zoomScaleNormal="100" workbookViewId="0">
      <selection activeCell="B21" sqref="B21"/>
    </sheetView>
  </sheetViews>
  <sheetFormatPr defaultColWidth="8.7109375" defaultRowHeight="15" x14ac:dyDescent="0.25"/>
  <cols>
    <col min="1" max="1" width="3" customWidth="1"/>
    <col min="2" max="2" width="110" customWidth="1"/>
  </cols>
  <sheetData>
    <row r="2" spans="2:2" ht="20.25" x14ac:dyDescent="0.3">
      <c r="B2" s="1" t="s">
        <v>0</v>
      </c>
    </row>
    <row r="4" spans="2:2" ht="45" customHeight="1" x14ac:dyDescent="0.25">
      <c r="B4" s="2" t="s">
        <v>1</v>
      </c>
    </row>
    <row r="7" spans="2:2" x14ac:dyDescent="0.25">
      <c r="B7" s="3" t="s">
        <v>2</v>
      </c>
    </row>
    <row r="8" spans="2:2" x14ac:dyDescent="0.25">
      <c r="B8" s="4" t="s">
        <v>3</v>
      </c>
    </row>
    <row r="9" spans="2:2" x14ac:dyDescent="0.25">
      <c r="B9" s="4" t="s">
        <v>4</v>
      </c>
    </row>
    <row r="10" spans="2:2" x14ac:dyDescent="0.25">
      <c r="B10" s="4" t="s">
        <v>5</v>
      </c>
    </row>
    <row r="11" spans="2:2" x14ac:dyDescent="0.25">
      <c r="B11" s="4" t="s">
        <v>6</v>
      </c>
    </row>
    <row r="12" spans="2:2" x14ac:dyDescent="0.25">
      <c r="B12" s="4" t="s">
        <v>7</v>
      </c>
    </row>
    <row r="13" spans="2:2" x14ac:dyDescent="0.25">
      <c r="B13" s="4" t="s">
        <v>8</v>
      </c>
    </row>
    <row r="14" spans="2:2" x14ac:dyDescent="0.25">
      <c r="B14" s="4" t="s">
        <v>9</v>
      </c>
    </row>
    <row r="15" spans="2:2" x14ac:dyDescent="0.25">
      <c r="B15" s="4" t="s">
        <v>10</v>
      </c>
    </row>
    <row r="16" spans="2:2" x14ac:dyDescent="0.25">
      <c r="B16" s="4" t="s">
        <v>11</v>
      </c>
    </row>
    <row r="17" spans="2:2" x14ac:dyDescent="0.25">
      <c r="B17" s="4" t="s">
        <v>12</v>
      </c>
    </row>
    <row r="19" spans="2:2" x14ac:dyDescent="0.25">
      <c r="B19" s="3" t="s">
        <v>13</v>
      </c>
    </row>
    <row r="20" spans="2:2" ht="30" customHeight="1" x14ac:dyDescent="0.25">
      <c r="B20" s="2" t="s">
        <v>412</v>
      </c>
    </row>
    <row r="21" spans="2:2" ht="30" customHeight="1" x14ac:dyDescent="0.25">
      <c r="B21" s="2" t="s">
        <v>14</v>
      </c>
    </row>
    <row r="22" spans="2:2" ht="30" customHeight="1" x14ac:dyDescent="0.25">
      <c r="B22" s="2" t="s">
        <v>15</v>
      </c>
    </row>
    <row r="23" spans="2:2" ht="30" customHeight="1" x14ac:dyDescent="0.25">
      <c r="B23" s="2" t="s">
        <v>16</v>
      </c>
    </row>
    <row r="24" spans="2:2" ht="30" customHeight="1" x14ac:dyDescent="0.25">
      <c r="B24" s="2" t="s">
        <v>17</v>
      </c>
    </row>
    <row r="25" spans="2:2" ht="30" customHeight="1" x14ac:dyDescent="0.25">
      <c r="B25" s="2" t="s">
        <v>18</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41"/>
  <sheetViews>
    <sheetView topLeftCell="H1" zoomScaleNormal="100" workbookViewId="0">
      <pane ySplit="1" topLeftCell="A109" activePane="bottomLeft" state="frozen"/>
      <selection pane="bottomLeft" activeCell="T2" sqref="T2:T141"/>
    </sheetView>
  </sheetViews>
  <sheetFormatPr defaultColWidth="8.7109375" defaultRowHeight="15" x14ac:dyDescent="0.25"/>
  <cols>
    <col min="1" max="1" width="16.42578125" customWidth="1"/>
    <col min="2" max="2" width="12" customWidth="1"/>
    <col min="3" max="3" width="14" customWidth="1"/>
    <col min="4" max="4" width="20" customWidth="1"/>
    <col min="5" max="5" width="24" customWidth="1"/>
    <col min="6" max="6" width="15.42578125" customWidth="1"/>
    <col min="7" max="7" width="8" customWidth="1"/>
    <col min="8" max="8" width="22.140625" customWidth="1"/>
    <col min="9" max="9" width="12.28515625" customWidth="1"/>
    <col min="10" max="10" width="11.42578125" customWidth="1"/>
    <col min="11" max="11" width="17.7109375" customWidth="1"/>
    <col min="12" max="12" width="22.42578125" customWidth="1"/>
    <col min="13" max="13" width="11.7109375" customWidth="1"/>
    <col min="14" max="14" width="19.7109375" customWidth="1"/>
    <col min="15" max="15" width="23.140625" customWidth="1"/>
    <col min="16" max="16" width="21.85546875" style="15" customWidth="1"/>
    <col min="17" max="17" width="16.85546875" customWidth="1"/>
    <col min="18" max="18" width="17.7109375" customWidth="1"/>
    <col min="19" max="19" width="12.5703125" customWidth="1"/>
    <col min="20" max="20" width="10" customWidth="1"/>
    <col min="21" max="21" width="17.140625" customWidth="1"/>
    <col min="22" max="22" width="13.7109375" customWidth="1"/>
    <col min="23" max="23" width="9.42578125" customWidth="1"/>
    <col min="24" max="24" width="9.140625" customWidth="1"/>
  </cols>
  <sheetData>
    <row r="1" spans="1:24" x14ac:dyDescent="0.25">
      <c r="A1" s="5" t="s">
        <v>19</v>
      </c>
      <c r="B1" s="5" t="s">
        <v>20</v>
      </c>
      <c r="C1" s="5" t="s">
        <v>21</v>
      </c>
      <c r="D1" s="5" t="s">
        <v>22</v>
      </c>
      <c r="E1" s="5" t="s">
        <v>23</v>
      </c>
      <c r="F1" s="5" t="s">
        <v>24</v>
      </c>
      <c r="G1" s="5" t="s">
        <v>25</v>
      </c>
      <c r="H1" s="5" t="s">
        <v>26</v>
      </c>
      <c r="I1" s="5" t="s">
        <v>27</v>
      </c>
      <c r="J1" s="5" t="s">
        <v>28</v>
      </c>
      <c r="K1" s="5" t="s">
        <v>29</v>
      </c>
      <c r="L1" s="13" t="s">
        <v>413</v>
      </c>
      <c r="M1" s="13" t="s">
        <v>414</v>
      </c>
      <c r="N1" s="13" t="s">
        <v>302</v>
      </c>
      <c r="O1" s="13" t="s">
        <v>415</v>
      </c>
      <c r="P1" s="14" t="s">
        <v>304</v>
      </c>
      <c r="Q1" s="13" t="s">
        <v>416</v>
      </c>
      <c r="R1" s="13" t="s">
        <v>418</v>
      </c>
      <c r="S1" s="13" t="s">
        <v>419</v>
      </c>
      <c r="T1" s="13" t="s">
        <v>420</v>
      </c>
      <c r="U1" s="13" t="s">
        <v>421</v>
      </c>
      <c r="V1" s="13" t="s">
        <v>422</v>
      </c>
      <c r="W1" s="16" t="s">
        <v>423</v>
      </c>
      <c r="X1" s="13" t="s">
        <v>432</v>
      </c>
    </row>
    <row r="2" spans="1:24" x14ac:dyDescent="0.25">
      <c r="A2" s="6" t="s">
        <v>30</v>
      </c>
      <c r="B2" s="7">
        <v>45498</v>
      </c>
      <c r="C2" s="6" t="s">
        <v>31</v>
      </c>
      <c r="D2" s="6" t="s">
        <v>32</v>
      </c>
      <c r="E2" s="6" t="s">
        <v>33</v>
      </c>
      <c r="F2" s="6" t="s">
        <v>34</v>
      </c>
      <c r="G2" s="6">
        <v>3</v>
      </c>
      <c r="H2" s="8">
        <v>11.15</v>
      </c>
      <c r="I2" s="8">
        <v>33.450000000000003</v>
      </c>
      <c r="J2" s="6" t="s">
        <v>35</v>
      </c>
      <c r="K2" s="6" t="s">
        <v>36</v>
      </c>
      <c r="L2" t="str" cm="1">
        <f t="array" ref="L2">_xlfn.IFS(G2&gt;6,"Duże zamówienie",G2&lt;=6,"Standardowe")</f>
        <v>Standardowe</v>
      </c>
      <c r="M2" t="str" cm="1">
        <f t="array" ref="M2">_xlfn.IFS(AND(C2="Warszawa",G2&gt;5),"Wysoki",OR(C2="Warszawa",C2="Kraków"),"Średni",TRUE,"Niski")</f>
        <v>Niski</v>
      </c>
      <c r="N2" t="str">
        <f>_xlfn.XLOOKUP(F2,Produkty!$A$2:$A$15,Produkty!$B$2:$B$15,"Brak w katalogu")</f>
        <v>Americano</v>
      </c>
      <c r="O2" t="str">
        <f>_xlfn.XLOOKUP(N2,Produkty!$B$2:$B$15,Produkty!$C$2:$C$15,"Brak w katalogu")</f>
        <v>Napoje gorące</v>
      </c>
      <c r="P2" s="15">
        <f>_xlfn.XLOOKUP(Dane!F2,Produkty!$A$2:$A$15,Produkty!$D$2:$D$15)</f>
        <v>11</v>
      </c>
      <c r="Q2" s="15">
        <f>SUM(P2-H2)</f>
        <v>-0.15000000000000036</v>
      </c>
      <c r="R2" t="str">
        <f>TRIM(PROPER(D2))</f>
        <v>Natalia Krawczyk</v>
      </c>
      <c r="S2" t="str">
        <f>LOWER(TRIM(_xlfn.TEXTAFTER(E2,"@")))</f>
        <v>kawiarnia.pl</v>
      </c>
      <c r="T2" t="str">
        <f>_xlfn.CONCAT(LEFT(R2,1),".",LEFT(_xlfn.TEXTAFTER(R2," "),"1"),".")</f>
        <v>N.K.</v>
      </c>
      <c r="U2" t="str">
        <f>_xlfn.CONCAT(C2,"-",F2)</f>
        <v>Poznań-K004</v>
      </c>
      <c r="V2" t="str">
        <f>TEXT(B2,"dd-mm-rrrr")</f>
        <v>25-07-2024</v>
      </c>
      <c r="W2" t="str">
        <f>TRIM(LOWER(K2))</f>
        <v>w realizacji</v>
      </c>
      <c r="X2" s="22">
        <f>Q2/P2</f>
        <v>-1.3636363636363669E-2</v>
      </c>
    </row>
    <row r="3" spans="1:24" x14ac:dyDescent="0.25">
      <c r="A3" s="6" t="s">
        <v>37</v>
      </c>
      <c r="B3" s="7">
        <v>45488</v>
      </c>
      <c r="C3" s="6" t="s">
        <v>38</v>
      </c>
      <c r="D3" s="6" t="s">
        <v>39</v>
      </c>
      <c r="E3" s="6" t="s">
        <v>40</v>
      </c>
      <c r="F3" s="6" t="s">
        <v>41</v>
      </c>
      <c r="G3" s="6">
        <v>12</v>
      </c>
      <c r="H3" s="8">
        <v>11.9</v>
      </c>
      <c r="I3" s="8">
        <v>142.80000000000001</v>
      </c>
      <c r="J3" s="6" t="s">
        <v>42</v>
      </c>
      <c r="K3" s="6" t="s">
        <v>43</v>
      </c>
      <c r="L3" t="str" cm="1">
        <f t="array" ref="L3">_xlfn.IFS(G3&gt;6,"Duże zamówienie",G3&lt;=6,"Standardowe")</f>
        <v>Duże zamówienie</v>
      </c>
      <c r="M3" t="str" cm="1">
        <f t="array" ref="M3">_xlfn.IFS(AND(C3="Warszawa",G3&gt;5),"Wysoki",OR(C3="Warszawa",C3="Kraków"),"Średni",TRUE,"Niski")</f>
        <v>Niski</v>
      </c>
      <c r="N3" t="str">
        <f>_xlfn.XLOOKUP(F3,Produkty!$A$2:$A$15,Produkty!$B$2:$B$15,"Brak w katalogu")</f>
        <v>Lemoniada</v>
      </c>
      <c r="O3" t="str">
        <f>_xlfn.XLOOKUP(N3,Produkty!$B$2:$B$15,Produkty!$C$2:$C$15,"Brak w katalogu")</f>
        <v>Napoje zimne</v>
      </c>
      <c r="P3" s="15">
        <f>_xlfn.XLOOKUP(Dane!F3,Produkty!$A$2:$A$15,Produkty!$D$2:$D$15)</f>
        <v>12</v>
      </c>
      <c r="Q3" s="15">
        <f t="shared" ref="Q3:Q66" si="0">SUM(P3-H3)</f>
        <v>9.9999999999999645E-2</v>
      </c>
      <c r="R3" t="str">
        <f t="shared" ref="R3:R66" si="1">TRIM(PROPER(D3))</f>
        <v>Aleksandra Kowal</v>
      </c>
      <c r="S3" t="str">
        <f t="shared" ref="S3:S66" si="2">LOWER(TRIM(_xlfn.TEXTAFTER(E3,"@")))</f>
        <v>kawiarnia.pl</v>
      </c>
      <c r="T3" t="str">
        <f t="shared" ref="T3:T66" si="3">_xlfn.CONCAT(LEFT(R3,1),".",LEFT(_xlfn.TEXTAFTER(R3," "),"1"),".")</f>
        <v>A.K.</v>
      </c>
      <c r="U3" t="str">
        <f t="shared" ref="U3:U66" si="4">_xlfn.CONCAT(C3,"-",F3)</f>
        <v>Gdańsk-K007</v>
      </c>
      <c r="V3" t="str">
        <f>TEXT(B3,"dd-mm-rrrr")</f>
        <v>15-07-2024</v>
      </c>
      <c r="W3" t="str">
        <f t="shared" ref="W3:W66" si="5">TRIM(LOWER(K3))</f>
        <v>zakonczone</v>
      </c>
      <c r="X3" s="22">
        <f t="shared" ref="X3:X66" si="6">Q3/P3</f>
        <v>8.3333333333333037E-3</v>
      </c>
    </row>
    <row r="4" spans="1:24" x14ac:dyDescent="0.25">
      <c r="A4" s="6" t="s">
        <v>44</v>
      </c>
      <c r="B4" s="7">
        <v>45490</v>
      </c>
      <c r="C4" s="6" t="s">
        <v>45</v>
      </c>
      <c r="D4" s="6" t="s">
        <v>46</v>
      </c>
      <c r="E4" s="6" t="s">
        <v>47</v>
      </c>
      <c r="F4" s="6" t="s">
        <v>48</v>
      </c>
      <c r="G4" s="6">
        <v>10</v>
      </c>
      <c r="H4" s="8">
        <v>5.7</v>
      </c>
      <c r="I4" s="8">
        <v>57</v>
      </c>
      <c r="J4" s="6" t="s">
        <v>49</v>
      </c>
      <c r="K4" s="6" t="s">
        <v>50</v>
      </c>
      <c r="L4" t="str" cm="1">
        <f t="array" ref="L4">_xlfn.IFS(G4&gt;6,"Duże zamówienie",G4&lt;=6,"Standardowe")</f>
        <v>Duże zamówienie</v>
      </c>
      <c r="M4" t="str" cm="1">
        <f t="array" ref="M4">_xlfn.IFS(AND(C4="Warszawa",G4&gt;5),"Wysoki",OR(C4="Warszawa",C4="Kraków"),"Średni",TRUE,"Niski")</f>
        <v>Średni</v>
      </c>
      <c r="N4" t="str">
        <f>_xlfn.XLOOKUP(F4,Produkty!$A$2:$A$15,Produkty!$B$2:$B$15,"Brak w katalogu")</f>
        <v>Batonik musli</v>
      </c>
      <c r="O4" t="str">
        <f>_xlfn.XLOOKUP(N4,Produkty!$B$2:$B$15,Produkty!$C$2:$C$15,"Brak w katalogu")</f>
        <v>Przekąski</v>
      </c>
      <c r="P4" s="15">
        <f>_xlfn.XLOOKUP(Dane!F4,Produkty!$A$2:$A$15,Produkty!$D$2:$D$15)</f>
        <v>6</v>
      </c>
      <c r="Q4" s="15">
        <f t="shared" si="0"/>
        <v>0.29999999999999982</v>
      </c>
      <c r="R4" t="str">
        <f t="shared" si="1"/>
        <v>Bartosz Zajac</v>
      </c>
      <c r="S4" t="str">
        <f t="shared" si="2"/>
        <v>kawiarnia.pl</v>
      </c>
      <c r="T4" t="str">
        <f t="shared" si="3"/>
        <v>B.Z.</v>
      </c>
      <c r="U4" t="str">
        <f t="shared" si="4"/>
        <v>Kraków-K014</v>
      </c>
      <c r="V4" t="str">
        <f t="shared" ref="V4:V67" si="7">TEXT(B4,"dd-mm-rrrr")</f>
        <v>17-07-2024</v>
      </c>
      <c r="W4" t="str">
        <f t="shared" si="5"/>
        <v>zakonczone</v>
      </c>
      <c r="X4" s="22">
        <f t="shared" si="6"/>
        <v>4.9999999999999968E-2</v>
      </c>
    </row>
    <row r="5" spans="1:24" x14ac:dyDescent="0.25">
      <c r="A5" s="6" t="s">
        <v>51</v>
      </c>
      <c r="B5" s="7">
        <v>45638</v>
      </c>
      <c r="C5" s="6" t="s">
        <v>52</v>
      </c>
      <c r="D5" s="6" t="s">
        <v>53</v>
      </c>
      <c r="E5" s="6" t="s">
        <v>54</v>
      </c>
      <c r="F5" s="6" t="s">
        <v>55</v>
      </c>
      <c r="G5" s="6">
        <v>9</v>
      </c>
      <c r="H5" s="8">
        <v>9.01</v>
      </c>
      <c r="I5" s="8">
        <v>81.09</v>
      </c>
      <c r="J5" s="6" t="s">
        <v>56</v>
      </c>
      <c r="K5" s="6" t="s">
        <v>43</v>
      </c>
      <c r="L5" t="str" cm="1">
        <f t="array" ref="L5">_xlfn.IFS(G5&gt;6,"Duże zamówienie",G5&lt;=6,"Standardowe")</f>
        <v>Duże zamówienie</v>
      </c>
      <c r="M5" t="str" cm="1">
        <f t="array" ref="M5">_xlfn.IFS(AND(C5="Warszawa",G5&gt;5),"Wysoki",OR(C5="Warszawa",C5="Kraków"),"Średni",TRUE,"Niski")</f>
        <v>Wysoki</v>
      </c>
      <c r="N5" t="str">
        <f>_xlfn.XLOOKUP(F5,Produkty!$A$2:$A$15,Produkty!$B$2:$B$15,"Brak w katalogu")</f>
        <v>Herbata liściasta</v>
      </c>
      <c r="O5" t="str">
        <f>_xlfn.XLOOKUP(N5,Produkty!$B$2:$B$15,Produkty!$C$2:$C$15,"Brak w katalogu")</f>
        <v>Napoje gorące</v>
      </c>
      <c r="P5" s="15">
        <f>_xlfn.XLOOKUP(Dane!F5,Produkty!$A$2:$A$15,Produkty!$D$2:$D$15)</f>
        <v>10</v>
      </c>
      <c r="Q5" s="15">
        <f t="shared" si="0"/>
        <v>0.99000000000000021</v>
      </c>
      <c r="R5" t="str">
        <f t="shared" si="1"/>
        <v>Weronika Duda</v>
      </c>
      <c r="S5" t="str">
        <f t="shared" si="2"/>
        <v>kawiarnia.pl</v>
      </c>
      <c r="T5" t="str">
        <f t="shared" si="3"/>
        <v>W.D.</v>
      </c>
      <c r="U5" t="str">
        <f t="shared" si="4"/>
        <v>Warszawa-K005</v>
      </c>
      <c r="V5" t="str">
        <f t="shared" si="7"/>
        <v>12-12-2024</v>
      </c>
      <c r="W5" t="str">
        <f t="shared" si="5"/>
        <v>zakonczone</v>
      </c>
      <c r="X5" s="22">
        <f t="shared" si="6"/>
        <v>9.9000000000000019E-2</v>
      </c>
    </row>
    <row r="6" spans="1:24" x14ac:dyDescent="0.25">
      <c r="A6" s="6" t="s">
        <v>57</v>
      </c>
      <c r="B6" s="7">
        <v>45565</v>
      </c>
      <c r="C6" s="6" t="s">
        <v>52</v>
      </c>
      <c r="D6" s="6" t="s">
        <v>53</v>
      </c>
      <c r="E6" s="6" t="s">
        <v>58</v>
      </c>
      <c r="F6" s="6" t="s">
        <v>59</v>
      </c>
      <c r="G6" s="6">
        <v>8</v>
      </c>
      <c r="H6" s="8">
        <v>15.7</v>
      </c>
      <c r="I6" s="8">
        <v>125.6</v>
      </c>
      <c r="J6" s="6" t="s">
        <v>60</v>
      </c>
      <c r="K6" s="6" t="s">
        <v>61</v>
      </c>
      <c r="L6" t="str" cm="1">
        <f t="array" ref="L6">_xlfn.IFS(G6&gt;6,"Duże zamówienie",G6&lt;=6,"Standardowe")</f>
        <v>Duże zamówienie</v>
      </c>
      <c r="M6" t="str" cm="1">
        <f t="array" ref="M6">_xlfn.IFS(AND(C6="Warszawa",G6&gt;5),"Wysoki",OR(C6="Warszawa",C6="Kraków"),"Średni",TRUE,"Niski")</f>
        <v>Wysoki</v>
      </c>
      <c r="N6" t="str">
        <f>_xlfn.XLOOKUP(F6,Produkty!$A$2:$A$15,Produkty!$B$2:$B$15,"Brak w katalogu")</f>
        <v>Sernik</v>
      </c>
      <c r="O6" t="str">
        <f>_xlfn.XLOOKUP(N6,Produkty!$B$2:$B$15,Produkty!$C$2:$C$15,"Brak w katalogu")</f>
        <v>Wypieki</v>
      </c>
      <c r="P6" s="15">
        <f>_xlfn.XLOOKUP(Dane!F6,Produkty!$A$2:$A$15,Produkty!$D$2:$D$15)</f>
        <v>15</v>
      </c>
      <c r="Q6" s="15">
        <f t="shared" si="0"/>
        <v>-0.69999999999999929</v>
      </c>
      <c r="R6" t="str">
        <f t="shared" si="1"/>
        <v>Weronika Duda</v>
      </c>
      <c r="S6" t="str">
        <f t="shared" si="2"/>
        <v>kawiarnia.pl</v>
      </c>
      <c r="T6" t="str">
        <f t="shared" si="3"/>
        <v>W.D.</v>
      </c>
      <c r="U6" t="str">
        <f t="shared" si="4"/>
        <v>Warszawa-K010</v>
      </c>
      <c r="V6" t="str">
        <f t="shared" si="7"/>
        <v>30-09-2024</v>
      </c>
      <c r="W6" t="str">
        <f t="shared" si="5"/>
        <v>w realizacji</v>
      </c>
      <c r="X6" s="22">
        <f t="shared" si="6"/>
        <v>-4.666666666666662E-2</v>
      </c>
    </row>
    <row r="7" spans="1:24" x14ac:dyDescent="0.25">
      <c r="A7" s="6" t="s">
        <v>62</v>
      </c>
      <c r="B7" s="7">
        <v>45402</v>
      </c>
      <c r="C7" s="6" t="s">
        <v>45</v>
      </c>
      <c r="D7" s="6" t="s">
        <v>53</v>
      </c>
      <c r="E7" s="6" t="s">
        <v>58</v>
      </c>
      <c r="F7" s="6" t="s">
        <v>63</v>
      </c>
      <c r="G7" s="6">
        <v>9</v>
      </c>
      <c r="H7" s="8">
        <v>13.99</v>
      </c>
      <c r="I7" s="8">
        <v>125.91</v>
      </c>
      <c r="J7" s="6" t="s">
        <v>64</v>
      </c>
      <c r="K7" s="6" t="s">
        <v>65</v>
      </c>
      <c r="L7" t="str" cm="1">
        <f t="array" ref="L7">_xlfn.IFS(G7&gt;6,"Duże zamówienie",G7&lt;=6,"Standardowe")</f>
        <v>Duże zamówienie</v>
      </c>
      <c r="M7" t="str" cm="1">
        <f t="array" ref="M7">_xlfn.IFS(AND(C7="Warszawa",G7&gt;5),"Wysoki",OR(C7="Warszawa",C7="Kraków"),"Średni",TRUE,"Niski")</f>
        <v>Średni</v>
      </c>
      <c r="N7" t="str">
        <f>_xlfn.XLOOKUP(F7,Produkty!$A$2:$A$15,Produkty!$B$2:$B$15,"Brak w katalogu")</f>
        <v>Latte</v>
      </c>
      <c r="O7" t="str">
        <f>_xlfn.XLOOKUP(N7,Produkty!$B$2:$B$15,Produkty!$C$2:$C$15,"Brak w katalogu")</f>
        <v>Napoje gorące</v>
      </c>
      <c r="P7" s="15">
        <f>_xlfn.XLOOKUP(Dane!F7,Produkty!$A$2:$A$15,Produkty!$D$2:$D$15)</f>
        <v>14</v>
      </c>
      <c r="Q7" s="15">
        <f t="shared" si="0"/>
        <v>9.9999999999997868E-3</v>
      </c>
      <c r="R7" t="str">
        <f t="shared" si="1"/>
        <v>Weronika Duda</v>
      </c>
      <c r="S7" t="str">
        <f t="shared" si="2"/>
        <v>kawiarnia.pl</v>
      </c>
      <c r="T7" t="str">
        <f t="shared" si="3"/>
        <v>W.D.</v>
      </c>
      <c r="U7" t="str">
        <f t="shared" si="4"/>
        <v>Kraków-K003</v>
      </c>
      <c r="V7" t="str">
        <f t="shared" si="7"/>
        <v>20-04-2024</v>
      </c>
      <c r="W7" t="str">
        <f t="shared" si="5"/>
        <v>nowe</v>
      </c>
      <c r="X7" s="22">
        <f t="shared" si="6"/>
        <v>7.1428571428569911E-4</v>
      </c>
    </row>
    <row r="8" spans="1:24" x14ac:dyDescent="0.25">
      <c r="A8" s="6" t="s">
        <v>66</v>
      </c>
      <c r="B8" s="7">
        <v>45303</v>
      </c>
      <c r="C8" s="6" t="s">
        <v>45</v>
      </c>
      <c r="D8" s="6" t="s">
        <v>53</v>
      </c>
      <c r="E8" s="6" t="s">
        <v>58</v>
      </c>
      <c r="F8" s="6" t="s">
        <v>67</v>
      </c>
      <c r="G8" s="6">
        <v>7</v>
      </c>
      <c r="H8" s="8">
        <v>12.93</v>
      </c>
      <c r="I8" s="8">
        <v>90.51</v>
      </c>
      <c r="J8" s="6" t="s">
        <v>68</v>
      </c>
      <c r="K8" s="6" t="s">
        <v>43</v>
      </c>
      <c r="L8" t="str" cm="1">
        <f t="array" ref="L8">_xlfn.IFS(G8&gt;6,"Duże zamówienie",G8&lt;=6,"Standardowe")</f>
        <v>Duże zamówienie</v>
      </c>
      <c r="M8" t="str" cm="1">
        <f t="array" ref="M8">_xlfn.IFS(AND(C8="Warszawa",G8&gt;5),"Wysoki",OR(C8="Warszawa",C8="Kraków"),"Średni",TRUE,"Niski")</f>
        <v>Średni</v>
      </c>
      <c r="N8" t="str">
        <f>_xlfn.XLOOKUP(F8,Produkty!$A$2:$A$15,Produkty!$B$2:$B$15,"Brak w katalogu")</f>
        <v>Cappuccino</v>
      </c>
      <c r="O8" t="str">
        <f>_xlfn.XLOOKUP(N8,Produkty!$B$2:$B$15,Produkty!$C$2:$C$15,"Brak w katalogu")</f>
        <v>Napoje gorące</v>
      </c>
      <c r="P8" s="15">
        <f>_xlfn.XLOOKUP(Dane!F8,Produkty!$A$2:$A$15,Produkty!$D$2:$D$15)</f>
        <v>13</v>
      </c>
      <c r="Q8" s="15">
        <f t="shared" si="0"/>
        <v>7.0000000000000284E-2</v>
      </c>
      <c r="R8" t="str">
        <f t="shared" si="1"/>
        <v>Weronika Duda</v>
      </c>
      <c r="S8" t="str">
        <f t="shared" si="2"/>
        <v>kawiarnia.pl</v>
      </c>
      <c r="T8" t="str">
        <f t="shared" si="3"/>
        <v>W.D.</v>
      </c>
      <c r="U8" t="str">
        <f t="shared" si="4"/>
        <v>Kraków-K002</v>
      </c>
      <c r="V8" t="str">
        <f t="shared" si="7"/>
        <v>12-01-2024</v>
      </c>
      <c r="W8" t="str">
        <f t="shared" si="5"/>
        <v>zakonczone</v>
      </c>
      <c r="X8" s="22">
        <f t="shared" si="6"/>
        <v>5.3846153846154061E-3</v>
      </c>
    </row>
    <row r="9" spans="1:24" x14ac:dyDescent="0.25">
      <c r="A9" s="6" t="s">
        <v>69</v>
      </c>
      <c r="B9" s="7">
        <v>45608</v>
      </c>
      <c r="C9" s="6" t="s">
        <v>52</v>
      </c>
      <c r="D9" s="6" t="s">
        <v>70</v>
      </c>
      <c r="E9" s="6" t="s">
        <v>71</v>
      </c>
      <c r="F9" s="6" t="s">
        <v>41</v>
      </c>
      <c r="G9" s="6">
        <v>4</v>
      </c>
      <c r="H9" s="8">
        <v>12.42</v>
      </c>
      <c r="I9" s="8">
        <v>49.68</v>
      </c>
      <c r="J9" s="6" t="s">
        <v>72</v>
      </c>
      <c r="K9" s="6" t="s">
        <v>36</v>
      </c>
      <c r="L9" t="str" cm="1">
        <f t="array" ref="L9">_xlfn.IFS(G9&gt;6,"Duże zamówienie",G9&lt;=6,"Standardowe")</f>
        <v>Standardowe</v>
      </c>
      <c r="M9" t="str" cm="1">
        <f t="array" ref="M9">_xlfn.IFS(AND(C9="Warszawa",G9&gt;5),"Wysoki",OR(C9="Warszawa",C9="Kraków"),"Średni",TRUE,"Niski")</f>
        <v>Średni</v>
      </c>
      <c r="N9" t="str">
        <f>_xlfn.XLOOKUP(F9,Produkty!$A$2:$A$15,Produkty!$B$2:$B$15,"Brak w katalogu")</f>
        <v>Lemoniada</v>
      </c>
      <c r="O9" t="str">
        <f>_xlfn.XLOOKUP(N9,Produkty!$B$2:$B$15,Produkty!$C$2:$C$15,"Brak w katalogu")</f>
        <v>Napoje zimne</v>
      </c>
      <c r="P9" s="15">
        <f>_xlfn.XLOOKUP(Dane!F9,Produkty!$A$2:$A$15,Produkty!$D$2:$D$15)</f>
        <v>12</v>
      </c>
      <c r="Q9" s="15">
        <f t="shared" si="0"/>
        <v>-0.41999999999999993</v>
      </c>
      <c r="R9" t="str">
        <f t="shared" si="1"/>
        <v>Kamil Wozniak</v>
      </c>
      <c r="S9" t="str">
        <f t="shared" si="2"/>
        <v>kawiarnia.pl</v>
      </c>
      <c r="T9" t="str">
        <f t="shared" si="3"/>
        <v>K.W.</v>
      </c>
      <c r="U9" t="str">
        <f t="shared" si="4"/>
        <v>Warszawa-K007</v>
      </c>
      <c r="V9" t="str">
        <f t="shared" si="7"/>
        <v>12-11-2024</v>
      </c>
      <c r="W9" t="str">
        <f t="shared" si="5"/>
        <v>w realizacji</v>
      </c>
      <c r="X9" s="22">
        <f t="shared" si="6"/>
        <v>-3.4999999999999996E-2</v>
      </c>
    </row>
    <row r="10" spans="1:24" x14ac:dyDescent="0.25">
      <c r="A10" s="6" t="s">
        <v>73</v>
      </c>
      <c r="B10" s="7">
        <v>45400</v>
      </c>
      <c r="C10" s="6" t="s">
        <v>31</v>
      </c>
      <c r="D10" s="6" t="s">
        <v>74</v>
      </c>
      <c r="E10" s="6" t="s">
        <v>75</v>
      </c>
      <c r="F10" s="6" t="s">
        <v>76</v>
      </c>
      <c r="G10" s="6">
        <v>3</v>
      </c>
      <c r="H10" s="8">
        <v>20.97</v>
      </c>
      <c r="I10" s="8">
        <v>62.91</v>
      </c>
      <c r="J10" s="6" t="s">
        <v>77</v>
      </c>
      <c r="K10" s="6" t="s">
        <v>78</v>
      </c>
      <c r="L10" t="str" cm="1">
        <f t="array" ref="L10">_xlfn.IFS(G10&gt;6,"Duże zamówienie",G10&lt;=6,"Standardowe")</f>
        <v>Standardowe</v>
      </c>
      <c r="M10" t="str" cm="1">
        <f t="array" ref="M10">_xlfn.IFS(AND(C10="Warszawa",G10&gt;5),"Wysoki",OR(C10="Warszawa",C10="Kraków"),"Średni",TRUE,"Niski")</f>
        <v>Niski</v>
      </c>
      <c r="N10" t="str">
        <f>_xlfn.XLOOKUP(F10,Produkty!$A$2:$A$15,Produkty!$B$2:$B$15,"Brak w katalogu")</f>
        <v>Sałatka Cesar</v>
      </c>
      <c r="O10" t="str">
        <f>_xlfn.XLOOKUP(N10,Produkty!$B$2:$B$15,Produkty!$C$2:$C$15,"Brak w katalogu")</f>
        <v>Przekąski</v>
      </c>
      <c r="P10" s="15">
        <f>_xlfn.XLOOKUP(Dane!F10,Produkty!$A$2:$A$15,Produkty!$D$2:$D$15)</f>
        <v>22</v>
      </c>
      <c r="Q10" s="15">
        <f t="shared" si="0"/>
        <v>1.0300000000000011</v>
      </c>
      <c r="R10" t="str">
        <f t="shared" si="1"/>
        <v>Pawel Mazur</v>
      </c>
      <c r="S10" t="str">
        <f t="shared" si="2"/>
        <v>kawiarnia.pl</v>
      </c>
      <c r="T10" t="str">
        <f t="shared" si="3"/>
        <v>P.M.</v>
      </c>
      <c r="U10" t="str">
        <f t="shared" si="4"/>
        <v>Poznań-K013</v>
      </c>
      <c r="V10" t="str">
        <f t="shared" si="7"/>
        <v>18-04-2024</v>
      </c>
      <c r="W10" t="str">
        <f t="shared" si="5"/>
        <v>nowe</v>
      </c>
      <c r="X10" s="22">
        <f t="shared" si="6"/>
        <v>4.681818181818187E-2</v>
      </c>
    </row>
    <row r="11" spans="1:24" x14ac:dyDescent="0.25">
      <c r="A11" s="6" t="s">
        <v>79</v>
      </c>
      <c r="B11" s="7">
        <v>45320</v>
      </c>
      <c r="C11" s="6" t="s">
        <v>45</v>
      </c>
      <c r="D11" s="6" t="s">
        <v>46</v>
      </c>
      <c r="E11" s="6" t="s">
        <v>80</v>
      </c>
      <c r="F11" s="6" t="s">
        <v>67</v>
      </c>
      <c r="G11" s="6">
        <v>2</v>
      </c>
      <c r="H11" s="8">
        <v>11.93</v>
      </c>
      <c r="I11" s="8">
        <v>23.86</v>
      </c>
      <c r="J11" s="6" t="s">
        <v>81</v>
      </c>
      <c r="K11" s="6" t="s">
        <v>61</v>
      </c>
      <c r="L11" t="str" cm="1">
        <f t="array" ref="L11">_xlfn.IFS(G11&gt;6,"Duże zamówienie",G11&lt;=6,"Standardowe")</f>
        <v>Standardowe</v>
      </c>
      <c r="M11" t="str" cm="1">
        <f t="array" ref="M11">_xlfn.IFS(AND(C11="Warszawa",G11&gt;5),"Wysoki",OR(C11="Warszawa",C11="Kraków"),"Średni",TRUE,"Niski")</f>
        <v>Średni</v>
      </c>
      <c r="N11" t="str">
        <f>_xlfn.XLOOKUP(F11,Produkty!$A$2:$A$15,Produkty!$B$2:$B$15,"Brak w katalogu")</f>
        <v>Cappuccino</v>
      </c>
      <c r="O11" t="str">
        <f>_xlfn.XLOOKUP(N11,Produkty!$B$2:$B$15,Produkty!$C$2:$C$15,"Brak w katalogu")</f>
        <v>Napoje gorące</v>
      </c>
      <c r="P11" s="15">
        <f>_xlfn.XLOOKUP(Dane!F11,Produkty!$A$2:$A$15,Produkty!$D$2:$D$15)</f>
        <v>13</v>
      </c>
      <c r="Q11" s="15">
        <f t="shared" si="0"/>
        <v>1.0700000000000003</v>
      </c>
      <c r="R11" t="str">
        <f t="shared" si="1"/>
        <v>Bartosz Zajac</v>
      </c>
      <c r="S11" t="str">
        <f t="shared" si="2"/>
        <v>kawiarnia.pl</v>
      </c>
      <c r="T11" t="str">
        <f t="shared" si="3"/>
        <v>B.Z.</v>
      </c>
      <c r="U11" t="str">
        <f t="shared" si="4"/>
        <v>Kraków-K002</v>
      </c>
      <c r="V11" t="str">
        <f t="shared" si="7"/>
        <v>29-01-2024</v>
      </c>
      <c r="W11" t="str">
        <f t="shared" si="5"/>
        <v>w realizacji</v>
      </c>
      <c r="X11" s="22">
        <f t="shared" si="6"/>
        <v>8.2307692307692332E-2</v>
      </c>
    </row>
    <row r="12" spans="1:24" x14ac:dyDescent="0.25">
      <c r="A12" s="6" t="s">
        <v>82</v>
      </c>
      <c r="B12" s="7">
        <v>45382</v>
      </c>
      <c r="C12" s="6" t="s">
        <v>31</v>
      </c>
      <c r="D12" s="6" t="s">
        <v>46</v>
      </c>
      <c r="E12" s="6" t="s">
        <v>83</v>
      </c>
      <c r="F12" s="6" t="s">
        <v>84</v>
      </c>
      <c r="G12" s="6">
        <v>8</v>
      </c>
      <c r="H12" s="8">
        <v>16.32</v>
      </c>
      <c r="I12" s="8">
        <v>130.56</v>
      </c>
      <c r="J12" s="6" t="s">
        <v>35</v>
      </c>
      <c r="K12" s="6" t="s">
        <v>65</v>
      </c>
      <c r="L12" t="str" cm="1">
        <f t="array" ref="L12">_xlfn.IFS(G12&gt;6,"Duże zamówienie",G12&lt;=6,"Standardowe")</f>
        <v>Duże zamówienie</v>
      </c>
      <c r="M12" t="str" cm="1">
        <f t="array" ref="M12">_xlfn.IFS(AND(C12="Warszawa",G12&gt;5),"Wysoki",OR(C12="Warszawa",C12="Kraków"),"Średni",TRUE,"Niski")</f>
        <v>Niski</v>
      </c>
      <c r="N12" t="str">
        <f>_xlfn.XLOOKUP(F12,Produkty!$A$2:$A$15,Produkty!$B$2:$B$15,"Brak w katalogu")</f>
        <v>Mrożona kawa</v>
      </c>
      <c r="O12" t="str">
        <f>_xlfn.XLOOKUP(N12,Produkty!$B$2:$B$15,Produkty!$C$2:$C$15,"Brak w katalogu")</f>
        <v>Napoje zimne</v>
      </c>
      <c r="P12" s="15">
        <f>_xlfn.XLOOKUP(Dane!F12,Produkty!$A$2:$A$15,Produkty!$D$2:$D$15)</f>
        <v>16</v>
      </c>
      <c r="Q12" s="15">
        <f t="shared" si="0"/>
        <v>-0.32000000000000028</v>
      </c>
      <c r="R12" t="str">
        <f t="shared" si="1"/>
        <v>Bartosz Zajac</v>
      </c>
      <c r="S12" t="str">
        <f t="shared" si="2"/>
        <v>kawiarnia.pl</v>
      </c>
      <c r="T12" t="str">
        <f t="shared" si="3"/>
        <v>B.Z.</v>
      </c>
      <c r="U12" t="str">
        <f t="shared" si="4"/>
        <v>Poznań-K006</v>
      </c>
      <c r="V12" t="str">
        <f t="shared" si="7"/>
        <v>31-03-2024</v>
      </c>
      <c r="W12" t="str">
        <f t="shared" si="5"/>
        <v>nowe</v>
      </c>
      <c r="X12" s="22">
        <f t="shared" si="6"/>
        <v>-2.0000000000000018E-2</v>
      </c>
    </row>
    <row r="13" spans="1:24" x14ac:dyDescent="0.25">
      <c r="A13" s="6" t="s">
        <v>85</v>
      </c>
      <c r="B13" s="7">
        <v>45477</v>
      </c>
      <c r="C13" s="6" t="s">
        <v>45</v>
      </c>
      <c r="D13" s="6" t="s">
        <v>39</v>
      </c>
      <c r="E13" s="6" t="s">
        <v>40</v>
      </c>
      <c r="F13" s="6" t="s">
        <v>59</v>
      </c>
      <c r="G13" s="6">
        <v>1</v>
      </c>
      <c r="H13" s="8">
        <v>14.26</v>
      </c>
      <c r="I13" s="8">
        <v>14.26</v>
      </c>
      <c r="J13" s="6" t="s">
        <v>86</v>
      </c>
      <c r="K13" s="6" t="s">
        <v>78</v>
      </c>
      <c r="L13" t="str" cm="1">
        <f t="array" ref="L13">_xlfn.IFS(G13&gt;6,"Duże zamówienie",G13&lt;=6,"Standardowe")</f>
        <v>Standardowe</v>
      </c>
      <c r="M13" t="str" cm="1">
        <f t="array" ref="M13">_xlfn.IFS(AND(C13="Warszawa",G13&gt;5),"Wysoki",OR(C13="Warszawa",C13="Kraków"),"Średni",TRUE,"Niski")</f>
        <v>Średni</v>
      </c>
      <c r="N13" t="str">
        <f>_xlfn.XLOOKUP(F13,Produkty!$A$2:$A$15,Produkty!$B$2:$B$15,"Brak w katalogu")</f>
        <v>Sernik</v>
      </c>
      <c r="O13" t="str">
        <f>_xlfn.XLOOKUP(N13,Produkty!$B$2:$B$15,Produkty!$C$2:$C$15,"Brak w katalogu")</f>
        <v>Wypieki</v>
      </c>
      <c r="P13" s="15">
        <f>_xlfn.XLOOKUP(Dane!F13,Produkty!$A$2:$A$15,Produkty!$D$2:$D$15)</f>
        <v>15</v>
      </c>
      <c r="Q13" s="15">
        <f t="shared" si="0"/>
        <v>0.74000000000000021</v>
      </c>
      <c r="R13" t="str">
        <f t="shared" si="1"/>
        <v>Aleksandra Kowal</v>
      </c>
      <c r="S13" t="str">
        <f t="shared" si="2"/>
        <v>kawiarnia.pl</v>
      </c>
      <c r="T13" t="str">
        <f t="shared" si="3"/>
        <v>A.K.</v>
      </c>
      <c r="U13" t="str">
        <f t="shared" si="4"/>
        <v>Kraków-K010</v>
      </c>
      <c r="V13" t="str">
        <f t="shared" si="7"/>
        <v>04-07-2024</v>
      </c>
      <c r="W13" t="str">
        <f t="shared" si="5"/>
        <v>nowe</v>
      </c>
      <c r="X13" s="22">
        <f t="shared" si="6"/>
        <v>4.9333333333333347E-2</v>
      </c>
    </row>
    <row r="14" spans="1:24" x14ac:dyDescent="0.25">
      <c r="A14" s="6" t="s">
        <v>87</v>
      </c>
      <c r="B14" s="7">
        <v>45464</v>
      </c>
      <c r="C14" s="6" t="s">
        <v>31</v>
      </c>
      <c r="D14" s="6" t="s">
        <v>70</v>
      </c>
      <c r="E14" s="6" t="s">
        <v>71</v>
      </c>
      <c r="F14" s="6" t="s">
        <v>88</v>
      </c>
      <c r="G14" s="6">
        <v>2</v>
      </c>
      <c r="H14" s="8">
        <v>7.42</v>
      </c>
      <c r="I14" s="8">
        <v>14.84</v>
      </c>
      <c r="J14" s="6" t="s">
        <v>64</v>
      </c>
      <c r="K14" s="6" t="s">
        <v>43</v>
      </c>
      <c r="L14" t="str" cm="1">
        <f t="array" ref="L14">_xlfn.IFS(G14&gt;6,"Duże zamówienie",G14&lt;=6,"Standardowe")</f>
        <v>Standardowe</v>
      </c>
      <c r="M14" t="str" cm="1">
        <f t="array" ref="M14">_xlfn.IFS(AND(C14="Warszawa",G14&gt;5),"Wysoki",OR(C14="Warszawa",C14="Kraków"),"Średni",TRUE,"Niski")</f>
        <v>Niski</v>
      </c>
      <c r="N14" t="str">
        <f>_xlfn.XLOOKUP(F14,Produkty!$A$2:$A$15,Produkty!$B$2:$B$15,"Brak w katalogu")</f>
        <v>Croissant</v>
      </c>
      <c r="O14" t="str">
        <f>_xlfn.XLOOKUP(N14,Produkty!$B$2:$B$15,Produkty!$C$2:$C$15,"Brak w katalogu")</f>
        <v>Wypieki</v>
      </c>
      <c r="P14" s="15">
        <f>_xlfn.XLOOKUP(Dane!F14,Produkty!$A$2:$A$15,Produkty!$D$2:$D$15)</f>
        <v>8</v>
      </c>
      <c r="Q14" s="15">
        <f t="shared" si="0"/>
        <v>0.58000000000000007</v>
      </c>
      <c r="R14" t="str">
        <f t="shared" si="1"/>
        <v>Kamil Wozniak</v>
      </c>
      <c r="S14" t="str">
        <f t="shared" si="2"/>
        <v>kawiarnia.pl</v>
      </c>
      <c r="T14" t="str">
        <f t="shared" si="3"/>
        <v>K.W.</v>
      </c>
      <c r="U14" t="str">
        <f t="shared" si="4"/>
        <v>Poznań-K009</v>
      </c>
      <c r="V14" t="str">
        <f t="shared" si="7"/>
        <v>21-06-2024</v>
      </c>
      <c r="W14" t="str">
        <f t="shared" si="5"/>
        <v>zakonczone</v>
      </c>
      <c r="X14" s="22">
        <f t="shared" si="6"/>
        <v>7.2500000000000009E-2</v>
      </c>
    </row>
    <row r="15" spans="1:24" x14ac:dyDescent="0.25">
      <c r="A15" s="6" t="s">
        <v>89</v>
      </c>
      <c r="B15" s="7">
        <v>45496</v>
      </c>
      <c r="C15" s="6" t="s">
        <v>31</v>
      </c>
      <c r="D15" s="6" t="s">
        <v>32</v>
      </c>
      <c r="E15" s="6" t="s">
        <v>90</v>
      </c>
      <c r="F15" s="6" t="s">
        <v>34</v>
      </c>
      <c r="G15" s="6">
        <v>11</v>
      </c>
      <c r="H15" s="8">
        <v>11.09</v>
      </c>
      <c r="I15" s="8">
        <v>121.99</v>
      </c>
      <c r="J15" s="6" t="s">
        <v>91</v>
      </c>
      <c r="K15" s="6" t="s">
        <v>36</v>
      </c>
      <c r="L15" t="str" cm="1">
        <f t="array" ref="L15">_xlfn.IFS(G15&gt;6,"Duże zamówienie",G15&lt;=6,"Standardowe")</f>
        <v>Duże zamówienie</v>
      </c>
      <c r="M15" t="str" cm="1">
        <f t="array" ref="M15">_xlfn.IFS(AND(C15="Warszawa",G15&gt;5),"Wysoki",OR(C15="Warszawa",C15="Kraków"),"Średni",TRUE,"Niski")</f>
        <v>Niski</v>
      </c>
      <c r="N15" t="str">
        <f>_xlfn.XLOOKUP(F15,Produkty!$A$2:$A$15,Produkty!$B$2:$B$15,"Brak w katalogu")</f>
        <v>Americano</v>
      </c>
      <c r="O15" t="str">
        <f>_xlfn.XLOOKUP(N15,Produkty!$B$2:$B$15,Produkty!$C$2:$C$15,"Brak w katalogu")</f>
        <v>Napoje gorące</v>
      </c>
      <c r="P15" s="15">
        <f>_xlfn.XLOOKUP(Dane!F15,Produkty!$A$2:$A$15,Produkty!$D$2:$D$15)</f>
        <v>11</v>
      </c>
      <c r="Q15" s="15">
        <f t="shared" si="0"/>
        <v>-8.9999999999999858E-2</v>
      </c>
      <c r="R15" t="str">
        <f t="shared" si="1"/>
        <v>Natalia Krawczyk</v>
      </c>
      <c r="S15" t="str">
        <f t="shared" si="2"/>
        <v>kawiarnia.pl</v>
      </c>
      <c r="T15" t="str">
        <f t="shared" si="3"/>
        <v>N.K.</v>
      </c>
      <c r="U15" t="str">
        <f t="shared" si="4"/>
        <v>Poznań-K004</v>
      </c>
      <c r="V15" t="str">
        <f t="shared" si="7"/>
        <v>23-07-2024</v>
      </c>
      <c r="W15" t="str">
        <f t="shared" si="5"/>
        <v>w realizacji</v>
      </c>
      <c r="X15" s="22">
        <f t="shared" si="6"/>
        <v>-8.1818181818181686E-3</v>
      </c>
    </row>
    <row r="16" spans="1:24" x14ac:dyDescent="0.25">
      <c r="A16" s="6" t="s">
        <v>92</v>
      </c>
      <c r="B16" s="7">
        <v>45452</v>
      </c>
      <c r="C16" s="6" t="s">
        <v>45</v>
      </c>
      <c r="D16" s="6" t="s">
        <v>32</v>
      </c>
      <c r="E16" s="6" t="s">
        <v>90</v>
      </c>
      <c r="F16" s="6" t="s">
        <v>76</v>
      </c>
      <c r="G16" s="6">
        <v>2</v>
      </c>
      <c r="H16" s="8">
        <v>22.71</v>
      </c>
      <c r="I16" s="8">
        <v>45.42</v>
      </c>
      <c r="J16" s="6" t="s">
        <v>93</v>
      </c>
      <c r="K16" s="6" t="s">
        <v>43</v>
      </c>
      <c r="L16" t="str" cm="1">
        <f t="array" ref="L16">_xlfn.IFS(G16&gt;6,"Duże zamówienie",G16&lt;=6,"Standardowe")</f>
        <v>Standardowe</v>
      </c>
      <c r="M16" t="str" cm="1">
        <f t="array" ref="M16">_xlfn.IFS(AND(C16="Warszawa",G16&gt;5),"Wysoki",OR(C16="Warszawa",C16="Kraków"),"Średni",TRUE,"Niski")</f>
        <v>Średni</v>
      </c>
      <c r="N16" t="str">
        <f>_xlfn.XLOOKUP(F16,Produkty!$A$2:$A$15,Produkty!$B$2:$B$15,"Brak w katalogu")</f>
        <v>Sałatka Cesar</v>
      </c>
      <c r="O16" t="str">
        <f>_xlfn.XLOOKUP(N16,Produkty!$B$2:$B$15,Produkty!$C$2:$C$15,"Brak w katalogu")</f>
        <v>Przekąski</v>
      </c>
      <c r="P16" s="15">
        <f>_xlfn.XLOOKUP(Dane!F16,Produkty!$A$2:$A$15,Produkty!$D$2:$D$15)</f>
        <v>22</v>
      </c>
      <c r="Q16" s="15">
        <f t="shared" si="0"/>
        <v>-0.71000000000000085</v>
      </c>
      <c r="R16" t="str">
        <f t="shared" si="1"/>
        <v>Natalia Krawczyk</v>
      </c>
      <c r="S16" t="str">
        <f t="shared" si="2"/>
        <v>kawiarnia.pl</v>
      </c>
      <c r="T16" t="str">
        <f t="shared" si="3"/>
        <v>N.K.</v>
      </c>
      <c r="U16" t="str">
        <f t="shared" si="4"/>
        <v>Kraków-K013</v>
      </c>
      <c r="V16" t="str">
        <f t="shared" si="7"/>
        <v>09-06-2024</v>
      </c>
      <c r="W16" t="str">
        <f t="shared" si="5"/>
        <v>zakonczone</v>
      </c>
      <c r="X16" s="22">
        <f t="shared" si="6"/>
        <v>-3.2272727272727314E-2</v>
      </c>
    </row>
    <row r="17" spans="1:24" x14ac:dyDescent="0.25">
      <c r="A17" s="6" t="s">
        <v>94</v>
      </c>
      <c r="B17" s="7">
        <v>45327</v>
      </c>
      <c r="C17" s="6" t="s">
        <v>38</v>
      </c>
      <c r="D17" s="6" t="s">
        <v>74</v>
      </c>
      <c r="E17" s="6" t="s">
        <v>75</v>
      </c>
      <c r="F17" s="6" t="s">
        <v>76</v>
      </c>
      <c r="G17" s="6">
        <v>8</v>
      </c>
      <c r="H17" s="8">
        <v>21.56</v>
      </c>
      <c r="I17" s="8">
        <v>172.48</v>
      </c>
      <c r="J17" s="6" t="s">
        <v>35</v>
      </c>
      <c r="K17" s="6" t="s">
        <v>78</v>
      </c>
      <c r="L17" t="str" cm="1">
        <f t="array" ref="L17">_xlfn.IFS(G17&gt;6,"Duże zamówienie",G17&lt;=6,"Standardowe")</f>
        <v>Duże zamówienie</v>
      </c>
      <c r="M17" t="str" cm="1">
        <f t="array" ref="M17">_xlfn.IFS(AND(C17="Warszawa",G17&gt;5),"Wysoki",OR(C17="Warszawa",C17="Kraków"),"Średni",TRUE,"Niski")</f>
        <v>Niski</v>
      </c>
      <c r="N17" t="str">
        <f>_xlfn.XLOOKUP(F17,Produkty!$A$2:$A$15,Produkty!$B$2:$B$15,"Brak w katalogu")</f>
        <v>Sałatka Cesar</v>
      </c>
      <c r="O17" t="str">
        <f>_xlfn.XLOOKUP(N17,Produkty!$B$2:$B$15,Produkty!$C$2:$C$15,"Brak w katalogu")</f>
        <v>Przekąski</v>
      </c>
      <c r="P17" s="15">
        <f>_xlfn.XLOOKUP(Dane!F17,Produkty!$A$2:$A$15,Produkty!$D$2:$D$15)</f>
        <v>22</v>
      </c>
      <c r="Q17" s="15">
        <f t="shared" si="0"/>
        <v>0.44000000000000128</v>
      </c>
      <c r="R17" t="str">
        <f t="shared" si="1"/>
        <v>Pawel Mazur</v>
      </c>
      <c r="S17" t="str">
        <f t="shared" si="2"/>
        <v>kawiarnia.pl</v>
      </c>
      <c r="T17" t="str">
        <f t="shared" si="3"/>
        <v>P.M.</v>
      </c>
      <c r="U17" t="str">
        <f t="shared" si="4"/>
        <v>Gdańsk-K013</v>
      </c>
      <c r="V17" t="str">
        <f t="shared" si="7"/>
        <v>05-02-2024</v>
      </c>
      <c r="W17" t="str">
        <f t="shared" si="5"/>
        <v>nowe</v>
      </c>
      <c r="X17" s="22">
        <f t="shared" si="6"/>
        <v>2.0000000000000059E-2</v>
      </c>
    </row>
    <row r="18" spans="1:24" x14ac:dyDescent="0.25">
      <c r="A18" s="6" t="s">
        <v>95</v>
      </c>
      <c r="B18" s="7">
        <v>45440</v>
      </c>
      <c r="C18" s="6" t="s">
        <v>31</v>
      </c>
      <c r="D18" s="6" t="s">
        <v>46</v>
      </c>
      <c r="E18" s="6" t="s">
        <v>47</v>
      </c>
      <c r="F18" s="6" t="s">
        <v>96</v>
      </c>
      <c r="G18" s="6">
        <v>10</v>
      </c>
      <c r="H18" s="8">
        <v>9.26</v>
      </c>
      <c r="I18" s="8">
        <v>92.6</v>
      </c>
      <c r="J18" s="6" t="s">
        <v>97</v>
      </c>
      <c r="K18" s="6" t="s">
        <v>36</v>
      </c>
      <c r="L18" t="str" cm="1">
        <f t="array" ref="L18">_xlfn.IFS(G18&gt;6,"Duże zamówienie",G18&lt;=6,"Standardowe")</f>
        <v>Duże zamówienie</v>
      </c>
      <c r="M18" t="str" cm="1">
        <f t="array" ref="M18">_xlfn.IFS(AND(C18="Warszawa",G18&gt;5),"Wysoki",OR(C18="Warszawa",C18="Kraków"),"Średni",TRUE,"Niski")</f>
        <v>Niski</v>
      </c>
      <c r="N18" t="str">
        <f>_xlfn.XLOOKUP(F18,Produkty!$A$2:$A$15,Produkty!$B$2:$B$15,"Brak w katalogu")</f>
        <v>Muffin czekoladowy</v>
      </c>
      <c r="O18" t="str">
        <f>_xlfn.XLOOKUP(N18,Produkty!$B$2:$B$15,Produkty!$C$2:$C$15,"Brak w katalogu")</f>
        <v>Wypieki</v>
      </c>
      <c r="P18" s="15">
        <f>_xlfn.XLOOKUP(Dane!F18,Produkty!$A$2:$A$15,Produkty!$D$2:$D$15)</f>
        <v>9</v>
      </c>
      <c r="Q18" s="15">
        <f t="shared" si="0"/>
        <v>-0.25999999999999979</v>
      </c>
      <c r="R18" t="str">
        <f t="shared" si="1"/>
        <v>Bartosz Zajac</v>
      </c>
      <c r="S18" t="str">
        <f t="shared" si="2"/>
        <v>kawiarnia.pl</v>
      </c>
      <c r="T18" t="str">
        <f t="shared" si="3"/>
        <v>B.Z.</v>
      </c>
      <c r="U18" t="str">
        <f t="shared" si="4"/>
        <v>Poznań-K011</v>
      </c>
      <c r="V18" t="str">
        <f t="shared" si="7"/>
        <v>28-05-2024</v>
      </c>
      <c r="W18" t="str">
        <f t="shared" si="5"/>
        <v>w realizacji</v>
      </c>
      <c r="X18" s="22">
        <f t="shared" si="6"/>
        <v>-2.8888888888888867E-2</v>
      </c>
    </row>
    <row r="19" spans="1:24" x14ac:dyDescent="0.25">
      <c r="A19" s="6" t="s">
        <v>98</v>
      </c>
      <c r="B19" s="7">
        <v>45517</v>
      </c>
      <c r="C19" s="6" t="s">
        <v>45</v>
      </c>
      <c r="D19" s="6" t="s">
        <v>70</v>
      </c>
      <c r="E19" s="6" t="s">
        <v>71</v>
      </c>
      <c r="F19" s="6" t="s">
        <v>84</v>
      </c>
      <c r="G19" s="6">
        <v>1</v>
      </c>
      <c r="H19" s="8">
        <v>16</v>
      </c>
      <c r="I19" s="8">
        <v>16</v>
      </c>
      <c r="J19" s="6" t="s">
        <v>77</v>
      </c>
      <c r="K19" s="6" t="s">
        <v>43</v>
      </c>
      <c r="L19" t="str" cm="1">
        <f t="array" ref="L19">_xlfn.IFS(G19&gt;6,"Duże zamówienie",G19&lt;=6,"Standardowe")</f>
        <v>Standardowe</v>
      </c>
      <c r="M19" t="str" cm="1">
        <f t="array" ref="M19">_xlfn.IFS(AND(C19="Warszawa",G19&gt;5),"Wysoki",OR(C19="Warszawa",C19="Kraków"),"Średni",TRUE,"Niski")</f>
        <v>Średni</v>
      </c>
      <c r="N19" t="str">
        <f>_xlfn.XLOOKUP(F19,Produkty!$A$2:$A$15,Produkty!$B$2:$B$15,"Brak w katalogu")</f>
        <v>Mrożona kawa</v>
      </c>
      <c r="O19" t="str">
        <f>_xlfn.XLOOKUP(N19,Produkty!$B$2:$B$15,Produkty!$C$2:$C$15,"Brak w katalogu")</f>
        <v>Napoje zimne</v>
      </c>
      <c r="P19" s="15">
        <f>_xlfn.XLOOKUP(Dane!F19,Produkty!$A$2:$A$15,Produkty!$D$2:$D$15)</f>
        <v>16</v>
      </c>
      <c r="Q19" s="15">
        <f t="shared" si="0"/>
        <v>0</v>
      </c>
      <c r="R19" t="str">
        <f t="shared" si="1"/>
        <v>Kamil Wozniak</v>
      </c>
      <c r="S19" t="str">
        <f t="shared" si="2"/>
        <v>kawiarnia.pl</v>
      </c>
      <c r="T19" t="str">
        <f t="shared" si="3"/>
        <v>K.W.</v>
      </c>
      <c r="U19" t="str">
        <f t="shared" si="4"/>
        <v>Kraków-K006</v>
      </c>
      <c r="V19" t="str">
        <f t="shared" si="7"/>
        <v>13-08-2024</v>
      </c>
      <c r="W19" t="str">
        <f t="shared" si="5"/>
        <v>zakonczone</v>
      </c>
      <c r="X19" s="22">
        <f t="shared" si="6"/>
        <v>0</v>
      </c>
    </row>
    <row r="20" spans="1:24" x14ac:dyDescent="0.25">
      <c r="A20" s="6" t="s">
        <v>99</v>
      </c>
      <c r="B20" s="7">
        <v>45390</v>
      </c>
      <c r="C20" s="6" t="s">
        <v>45</v>
      </c>
      <c r="D20" s="6" t="s">
        <v>74</v>
      </c>
      <c r="E20" s="6" t="s">
        <v>75</v>
      </c>
      <c r="F20" s="6" t="s">
        <v>76</v>
      </c>
      <c r="G20" s="6">
        <v>12</v>
      </c>
      <c r="H20" s="8">
        <v>20.56</v>
      </c>
      <c r="I20" s="8">
        <v>246.72</v>
      </c>
      <c r="J20" s="6" t="s">
        <v>100</v>
      </c>
      <c r="K20" s="6" t="s">
        <v>36</v>
      </c>
      <c r="L20" t="str" cm="1">
        <f t="array" ref="L20">_xlfn.IFS(G20&gt;6,"Duże zamówienie",G20&lt;=6,"Standardowe")</f>
        <v>Duże zamówienie</v>
      </c>
      <c r="M20" t="str" cm="1">
        <f t="array" ref="M20">_xlfn.IFS(AND(C20="Warszawa",G20&gt;5),"Wysoki",OR(C20="Warszawa",C20="Kraków"),"Średni",TRUE,"Niski")</f>
        <v>Średni</v>
      </c>
      <c r="N20" t="str">
        <f>_xlfn.XLOOKUP(F20,Produkty!$A$2:$A$15,Produkty!$B$2:$B$15,"Brak w katalogu")</f>
        <v>Sałatka Cesar</v>
      </c>
      <c r="O20" t="str">
        <f>_xlfn.XLOOKUP(N20,Produkty!$B$2:$B$15,Produkty!$C$2:$C$15,"Brak w katalogu")</f>
        <v>Przekąski</v>
      </c>
      <c r="P20" s="15">
        <f>_xlfn.XLOOKUP(Dane!F20,Produkty!$A$2:$A$15,Produkty!$D$2:$D$15)</f>
        <v>22</v>
      </c>
      <c r="Q20" s="15">
        <f t="shared" si="0"/>
        <v>1.4400000000000013</v>
      </c>
      <c r="R20" t="str">
        <f t="shared" si="1"/>
        <v>Pawel Mazur</v>
      </c>
      <c r="S20" t="str">
        <f t="shared" si="2"/>
        <v>kawiarnia.pl</v>
      </c>
      <c r="T20" t="str">
        <f t="shared" si="3"/>
        <v>P.M.</v>
      </c>
      <c r="U20" t="str">
        <f t="shared" si="4"/>
        <v>Kraków-K013</v>
      </c>
      <c r="V20" t="str">
        <f t="shared" si="7"/>
        <v>08-04-2024</v>
      </c>
      <c r="W20" t="str">
        <f t="shared" si="5"/>
        <v>w realizacji</v>
      </c>
      <c r="X20" s="22">
        <f t="shared" si="6"/>
        <v>6.5454545454545515E-2</v>
      </c>
    </row>
    <row r="21" spans="1:24" x14ac:dyDescent="0.25">
      <c r="A21" s="6" t="s">
        <v>101</v>
      </c>
      <c r="B21" s="7">
        <v>45496</v>
      </c>
      <c r="C21" s="6" t="s">
        <v>52</v>
      </c>
      <c r="D21" s="6" t="s">
        <v>39</v>
      </c>
      <c r="E21" s="6" t="s">
        <v>40</v>
      </c>
      <c r="F21" s="6" t="s">
        <v>102</v>
      </c>
      <c r="G21" s="6">
        <v>9</v>
      </c>
      <c r="H21" s="8">
        <v>8.52</v>
      </c>
      <c r="I21" s="8">
        <v>76.680000000000007</v>
      </c>
      <c r="J21" s="6" t="s">
        <v>103</v>
      </c>
      <c r="K21" s="6" t="s">
        <v>36</v>
      </c>
      <c r="L21" t="str" cm="1">
        <f t="array" ref="L21">_xlfn.IFS(G21&gt;6,"Duże zamówienie",G21&lt;=6,"Standardowe")</f>
        <v>Duże zamówienie</v>
      </c>
      <c r="M21" t="str" cm="1">
        <f t="array" ref="M21">_xlfn.IFS(AND(C21="Warszawa",G21&gt;5),"Wysoki",OR(C21="Warszawa",C21="Kraków"),"Średni",TRUE,"Niski")</f>
        <v>Wysoki</v>
      </c>
      <c r="N21" t="str">
        <f>_xlfn.XLOOKUP(F21,Produkty!$A$2:$A$15,Produkty!$B$2:$B$15,"Brak w katalogu")</f>
        <v>Espresso</v>
      </c>
      <c r="O21" t="str">
        <f>_xlfn.XLOOKUP(N21,Produkty!$B$2:$B$15,Produkty!$C$2:$C$15,"Brak w katalogu")</f>
        <v>Napoje gorące</v>
      </c>
      <c r="P21" s="15">
        <f>_xlfn.XLOOKUP(Dane!F21,Produkty!$A$2:$A$15,Produkty!$D$2:$D$15)</f>
        <v>9</v>
      </c>
      <c r="Q21" s="15">
        <f t="shared" si="0"/>
        <v>0.48000000000000043</v>
      </c>
      <c r="R21" t="str">
        <f t="shared" si="1"/>
        <v>Aleksandra Kowal</v>
      </c>
      <c r="S21" t="str">
        <f t="shared" si="2"/>
        <v>kawiarnia.pl</v>
      </c>
      <c r="T21" t="str">
        <f t="shared" si="3"/>
        <v>A.K.</v>
      </c>
      <c r="U21" t="str">
        <f t="shared" si="4"/>
        <v>Warszawa-K001</v>
      </c>
      <c r="V21" t="str">
        <f t="shared" si="7"/>
        <v>23-07-2024</v>
      </c>
      <c r="W21" t="str">
        <f t="shared" si="5"/>
        <v>w realizacji</v>
      </c>
      <c r="X21" s="22">
        <f t="shared" si="6"/>
        <v>5.3333333333333378E-2</v>
      </c>
    </row>
    <row r="22" spans="1:24" x14ac:dyDescent="0.25">
      <c r="A22" s="6" t="s">
        <v>104</v>
      </c>
      <c r="B22" s="7">
        <v>45377</v>
      </c>
      <c r="C22" s="6" t="s">
        <v>38</v>
      </c>
      <c r="D22" s="6" t="s">
        <v>53</v>
      </c>
      <c r="E22" s="6" t="s">
        <v>105</v>
      </c>
      <c r="F22" s="6" t="s">
        <v>48</v>
      </c>
      <c r="G22" s="6">
        <v>12</v>
      </c>
      <c r="H22" s="8">
        <v>5.78</v>
      </c>
      <c r="I22" s="8">
        <v>69.36</v>
      </c>
      <c r="J22" s="6" t="s">
        <v>106</v>
      </c>
      <c r="K22" s="6" t="s">
        <v>50</v>
      </c>
      <c r="L22" t="str" cm="1">
        <f t="array" ref="L22">_xlfn.IFS(G22&gt;6,"Duże zamówienie",G22&lt;=6,"Standardowe")</f>
        <v>Duże zamówienie</v>
      </c>
      <c r="M22" t="str" cm="1">
        <f t="array" ref="M22">_xlfn.IFS(AND(C22="Warszawa",G22&gt;5),"Wysoki",OR(C22="Warszawa",C22="Kraków"),"Średni",TRUE,"Niski")</f>
        <v>Niski</v>
      </c>
      <c r="N22" t="str">
        <f>_xlfn.XLOOKUP(F22,Produkty!$A$2:$A$15,Produkty!$B$2:$B$15,"Brak w katalogu")</f>
        <v>Batonik musli</v>
      </c>
      <c r="O22" t="str">
        <f>_xlfn.XLOOKUP(N22,Produkty!$B$2:$B$15,Produkty!$C$2:$C$15,"Brak w katalogu")</f>
        <v>Przekąski</v>
      </c>
      <c r="P22" s="15">
        <f>_xlfn.XLOOKUP(Dane!F22,Produkty!$A$2:$A$15,Produkty!$D$2:$D$15)</f>
        <v>6</v>
      </c>
      <c r="Q22" s="15">
        <f t="shared" si="0"/>
        <v>0.21999999999999975</v>
      </c>
      <c r="R22" t="str">
        <f t="shared" si="1"/>
        <v>Weronika Duda</v>
      </c>
      <c r="S22" t="str">
        <f t="shared" si="2"/>
        <v>kawiarnia.pl</v>
      </c>
      <c r="T22" t="str">
        <f t="shared" si="3"/>
        <v>W.D.</v>
      </c>
      <c r="U22" t="str">
        <f t="shared" si="4"/>
        <v>Gdańsk-K014</v>
      </c>
      <c r="V22" t="str">
        <f t="shared" si="7"/>
        <v>26-03-2024</v>
      </c>
      <c r="W22" t="str">
        <f t="shared" si="5"/>
        <v>zakonczone</v>
      </c>
      <c r="X22" s="22">
        <f t="shared" si="6"/>
        <v>3.6666666666666625E-2</v>
      </c>
    </row>
    <row r="23" spans="1:24" x14ac:dyDescent="0.25">
      <c r="A23" s="6" t="s">
        <v>107</v>
      </c>
      <c r="B23" s="7">
        <v>45612</v>
      </c>
      <c r="C23" s="6" t="s">
        <v>38</v>
      </c>
      <c r="D23" s="6" t="s">
        <v>74</v>
      </c>
      <c r="E23" s="6" t="s">
        <v>108</v>
      </c>
      <c r="F23" s="6" t="s">
        <v>67</v>
      </c>
      <c r="G23" s="6">
        <v>5</v>
      </c>
      <c r="H23" s="8">
        <v>11.85</v>
      </c>
      <c r="I23" s="8">
        <v>59.25</v>
      </c>
      <c r="J23" s="6" t="s">
        <v>64</v>
      </c>
      <c r="K23" s="6" t="s">
        <v>65</v>
      </c>
      <c r="L23" t="str" cm="1">
        <f t="array" ref="L23">_xlfn.IFS(G23&gt;6,"Duże zamówienie",G23&lt;=6,"Standardowe")</f>
        <v>Standardowe</v>
      </c>
      <c r="M23" t="str" cm="1">
        <f t="array" ref="M23">_xlfn.IFS(AND(C23="Warszawa",G23&gt;5),"Wysoki",OR(C23="Warszawa",C23="Kraków"),"Średni",TRUE,"Niski")</f>
        <v>Niski</v>
      </c>
      <c r="N23" t="str">
        <f>_xlfn.XLOOKUP(F23,Produkty!$A$2:$A$15,Produkty!$B$2:$B$15,"Brak w katalogu")</f>
        <v>Cappuccino</v>
      </c>
      <c r="O23" t="str">
        <f>_xlfn.XLOOKUP(N23,Produkty!$B$2:$B$15,Produkty!$C$2:$C$15,"Brak w katalogu")</f>
        <v>Napoje gorące</v>
      </c>
      <c r="P23" s="15">
        <f>_xlfn.XLOOKUP(Dane!F23,Produkty!$A$2:$A$15,Produkty!$D$2:$D$15)</f>
        <v>13</v>
      </c>
      <c r="Q23" s="15">
        <f t="shared" si="0"/>
        <v>1.1500000000000004</v>
      </c>
      <c r="R23" t="str">
        <f t="shared" si="1"/>
        <v>Pawel Mazur</v>
      </c>
      <c r="S23" t="str">
        <f t="shared" si="2"/>
        <v>kawiarnia.pl</v>
      </c>
      <c r="T23" t="str">
        <f t="shared" si="3"/>
        <v>P.M.</v>
      </c>
      <c r="U23" t="str">
        <f t="shared" si="4"/>
        <v>Gdańsk-K002</v>
      </c>
      <c r="V23" t="str">
        <f t="shared" si="7"/>
        <v>16-11-2024</v>
      </c>
      <c r="W23" t="str">
        <f t="shared" si="5"/>
        <v>nowe</v>
      </c>
      <c r="X23" s="22">
        <f t="shared" si="6"/>
        <v>8.8461538461538494E-2</v>
      </c>
    </row>
    <row r="24" spans="1:24" x14ac:dyDescent="0.25">
      <c r="A24" s="6" t="s">
        <v>109</v>
      </c>
      <c r="B24" s="7">
        <v>45505</v>
      </c>
      <c r="C24" s="6" t="s">
        <v>110</v>
      </c>
      <c r="D24" s="6" t="s">
        <v>111</v>
      </c>
      <c r="E24" s="6" t="s">
        <v>112</v>
      </c>
      <c r="F24" s="6" t="s">
        <v>113</v>
      </c>
      <c r="G24" s="6">
        <v>10</v>
      </c>
      <c r="H24" s="8">
        <v>16.77</v>
      </c>
      <c r="I24" s="8">
        <v>167.7</v>
      </c>
      <c r="J24" s="6" t="s">
        <v>114</v>
      </c>
      <c r="K24" s="6" t="s">
        <v>65</v>
      </c>
      <c r="L24" t="str" cm="1">
        <f t="array" ref="L24">_xlfn.IFS(G24&gt;6,"Duże zamówienie",G24&lt;=6,"Standardowe")</f>
        <v>Duże zamówienie</v>
      </c>
      <c r="M24" t="str" cm="1">
        <f t="array" ref="M24">_xlfn.IFS(AND(C24="Warszawa",G24&gt;5),"Wysoki",OR(C24="Warszawa",C24="Kraków"),"Średni",TRUE,"Niski")</f>
        <v>Niski</v>
      </c>
      <c r="N24" t="str">
        <f>_xlfn.XLOOKUP(F24,Produkty!$A$2:$A$15,Produkty!$B$2:$B$15,"Brak w katalogu")</f>
        <v>Bagietka z szynką</v>
      </c>
      <c r="O24" t="str">
        <f>_xlfn.XLOOKUP(N24,Produkty!$B$2:$B$15,Produkty!$C$2:$C$15,"Brak w katalogu")</f>
        <v>Przekąski</v>
      </c>
      <c r="P24" s="15">
        <f>_xlfn.XLOOKUP(Dane!F24,Produkty!$A$2:$A$15,Produkty!$D$2:$D$15)</f>
        <v>17</v>
      </c>
      <c r="Q24" s="15">
        <f t="shared" si="0"/>
        <v>0.23000000000000043</v>
      </c>
      <c r="R24" t="str">
        <f t="shared" si="1"/>
        <v>Julia Jankowska</v>
      </c>
      <c r="S24" t="str">
        <f t="shared" si="2"/>
        <v>kawiarnia.pl</v>
      </c>
      <c r="T24" t="str">
        <f t="shared" si="3"/>
        <v>J.J.</v>
      </c>
      <c r="U24" t="str">
        <f t="shared" si="4"/>
        <v>Wrocław-K012</v>
      </c>
      <c r="V24" t="str">
        <f t="shared" si="7"/>
        <v>01-08-2024</v>
      </c>
      <c r="W24" t="str">
        <f t="shared" si="5"/>
        <v>nowe</v>
      </c>
      <c r="X24" s="22">
        <f t="shared" si="6"/>
        <v>1.3529411764705908E-2</v>
      </c>
    </row>
    <row r="25" spans="1:24" x14ac:dyDescent="0.25">
      <c r="A25" s="6" t="s">
        <v>115</v>
      </c>
      <c r="B25" s="7">
        <v>45494</v>
      </c>
      <c r="C25" s="6" t="s">
        <v>31</v>
      </c>
      <c r="D25" s="6" t="s">
        <v>46</v>
      </c>
      <c r="E25" s="6" t="s">
        <v>47</v>
      </c>
      <c r="F25" s="6" t="s">
        <v>63</v>
      </c>
      <c r="G25" s="6">
        <v>3</v>
      </c>
      <c r="H25" s="8">
        <v>14.49</v>
      </c>
      <c r="I25" s="8">
        <v>43.47</v>
      </c>
      <c r="J25" s="6" t="s">
        <v>77</v>
      </c>
      <c r="K25" s="6" t="s">
        <v>36</v>
      </c>
      <c r="L25" t="str" cm="1">
        <f t="array" ref="L25">_xlfn.IFS(G25&gt;6,"Duże zamówienie",G25&lt;=6,"Standardowe")</f>
        <v>Standardowe</v>
      </c>
      <c r="M25" t="str" cm="1">
        <f t="array" ref="M25">_xlfn.IFS(AND(C25="Warszawa",G25&gt;5),"Wysoki",OR(C25="Warszawa",C25="Kraków"),"Średni",TRUE,"Niski")</f>
        <v>Niski</v>
      </c>
      <c r="N25" t="str">
        <f>_xlfn.XLOOKUP(F25,Produkty!$A$2:$A$15,Produkty!$B$2:$B$15,"Brak w katalogu")</f>
        <v>Latte</v>
      </c>
      <c r="O25" t="str">
        <f>_xlfn.XLOOKUP(N25,Produkty!$B$2:$B$15,Produkty!$C$2:$C$15,"Brak w katalogu")</f>
        <v>Napoje gorące</v>
      </c>
      <c r="P25" s="15">
        <f>_xlfn.XLOOKUP(Dane!F25,Produkty!$A$2:$A$15,Produkty!$D$2:$D$15)</f>
        <v>14</v>
      </c>
      <c r="Q25" s="15">
        <f t="shared" si="0"/>
        <v>-0.49000000000000021</v>
      </c>
      <c r="R25" t="str">
        <f t="shared" si="1"/>
        <v>Bartosz Zajac</v>
      </c>
      <c r="S25" t="str">
        <f t="shared" si="2"/>
        <v>kawiarnia.pl</v>
      </c>
      <c r="T25" t="str">
        <f t="shared" si="3"/>
        <v>B.Z.</v>
      </c>
      <c r="U25" t="str">
        <f t="shared" si="4"/>
        <v>Poznań-K003</v>
      </c>
      <c r="V25" t="str">
        <f t="shared" si="7"/>
        <v>21-07-2024</v>
      </c>
      <c r="W25" t="str">
        <f t="shared" si="5"/>
        <v>w realizacji</v>
      </c>
      <c r="X25" s="22">
        <f t="shared" si="6"/>
        <v>-3.5000000000000017E-2</v>
      </c>
    </row>
    <row r="26" spans="1:24" x14ac:dyDescent="0.25">
      <c r="A26" s="6" t="s">
        <v>116</v>
      </c>
      <c r="B26" s="7">
        <v>45491</v>
      </c>
      <c r="C26" s="6" t="s">
        <v>31</v>
      </c>
      <c r="D26" s="6" t="s">
        <v>46</v>
      </c>
      <c r="E26" s="6" t="s">
        <v>47</v>
      </c>
      <c r="F26" s="6" t="s">
        <v>55</v>
      </c>
      <c r="G26" s="6">
        <v>8</v>
      </c>
      <c r="H26" s="8">
        <v>9.86</v>
      </c>
      <c r="I26" s="8">
        <v>78.88</v>
      </c>
      <c r="J26" s="6" t="s">
        <v>117</v>
      </c>
      <c r="K26" s="6" t="s">
        <v>78</v>
      </c>
      <c r="L26" t="str" cm="1">
        <f t="array" ref="L26">_xlfn.IFS(G26&gt;6,"Duże zamówienie",G26&lt;=6,"Standardowe")</f>
        <v>Duże zamówienie</v>
      </c>
      <c r="M26" t="str" cm="1">
        <f t="array" ref="M26">_xlfn.IFS(AND(C26="Warszawa",G26&gt;5),"Wysoki",OR(C26="Warszawa",C26="Kraków"),"Średni",TRUE,"Niski")</f>
        <v>Niski</v>
      </c>
      <c r="N26" t="str">
        <f>_xlfn.XLOOKUP(F26,Produkty!$A$2:$A$15,Produkty!$B$2:$B$15,"Brak w katalogu")</f>
        <v>Herbata liściasta</v>
      </c>
      <c r="O26" t="str">
        <f>_xlfn.XLOOKUP(N26,Produkty!$B$2:$B$15,Produkty!$C$2:$C$15,"Brak w katalogu")</f>
        <v>Napoje gorące</v>
      </c>
      <c r="P26" s="15">
        <f>_xlfn.XLOOKUP(Dane!F26,Produkty!$A$2:$A$15,Produkty!$D$2:$D$15)</f>
        <v>10</v>
      </c>
      <c r="Q26" s="15">
        <f t="shared" si="0"/>
        <v>0.14000000000000057</v>
      </c>
      <c r="R26" t="str">
        <f t="shared" si="1"/>
        <v>Bartosz Zajac</v>
      </c>
      <c r="S26" t="str">
        <f t="shared" si="2"/>
        <v>kawiarnia.pl</v>
      </c>
      <c r="T26" t="str">
        <f t="shared" si="3"/>
        <v>B.Z.</v>
      </c>
      <c r="U26" t="str">
        <f t="shared" si="4"/>
        <v>Poznań-K005</v>
      </c>
      <c r="V26" t="str">
        <f t="shared" si="7"/>
        <v>18-07-2024</v>
      </c>
      <c r="W26" t="str">
        <f t="shared" si="5"/>
        <v>nowe</v>
      </c>
      <c r="X26" s="22">
        <f t="shared" si="6"/>
        <v>1.4000000000000058E-2</v>
      </c>
    </row>
    <row r="27" spans="1:24" x14ac:dyDescent="0.25">
      <c r="A27" s="6" t="s">
        <v>118</v>
      </c>
      <c r="B27" s="7">
        <v>45386</v>
      </c>
      <c r="C27" s="6" t="s">
        <v>31</v>
      </c>
      <c r="D27" s="6" t="s">
        <v>53</v>
      </c>
      <c r="E27" s="6" t="s">
        <v>58</v>
      </c>
      <c r="F27" s="6" t="s">
        <v>67</v>
      </c>
      <c r="G27" s="6">
        <v>9</v>
      </c>
      <c r="H27" s="8">
        <v>12.17</v>
      </c>
      <c r="I27" s="8">
        <v>109.53</v>
      </c>
      <c r="J27" s="6" t="s">
        <v>119</v>
      </c>
      <c r="K27" s="6" t="s">
        <v>50</v>
      </c>
      <c r="L27" t="str" cm="1">
        <f t="array" ref="L27">_xlfn.IFS(G27&gt;6,"Duże zamówienie",G27&lt;=6,"Standardowe")</f>
        <v>Duże zamówienie</v>
      </c>
      <c r="M27" t="str" cm="1">
        <f t="array" ref="M27">_xlfn.IFS(AND(C27="Warszawa",G27&gt;5),"Wysoki",OR(C27="Warszawa",C27="Kraków"),"Średni",TRUE,"Niski")</f>
        <v>Niski</v>
      </c>
      <c r="N27" t="str">
        <f>_xlfn.XLOOKUP(F27,Produkty!$A$2:$A$15,Produkty!$B$2:$B$15,"Brak w katalogu")</f>
        <v>Cappuccino</v>
      </c>
      <c r="O27" t="str">
        <f>_xlfn.XLOOKUP(N27,Produkty!$B$2:$B$15,Produkty!$C$2:$C$15,"Brak w katalogu")</f>
        <v>Napoje gorące</v>
      </c>
      <c r="P27" s="15">
        <f>_xlfn.XLOOKUP(Dane!F27,Produkty!$A$2:$A$15,Produkty!$D$2:$D$15)</f>
        <v>13</v>
      </c>
      <c r="Q27" s="15">
        <f t="shared" si="0"/>
        <v>0.83000000000000007</v>
      </c>
      <c r="R27" t="str">
        <f t="shared" si="1"/>
        <v>Weronika Duda</v>
      </c>
      <c r="S27" t="str">
        <f t="shared" si="2"/>
        <v>kawiarnia.pl</v>
      </c>
      <c r="T27" t="str">
        <f t="shared" si="3"/>
        <v>W.D.</v>
      </c>
      <c r="U27" t="str">
        <f t="shared" si="4"/>
        <v>Poznań-K002</v>
      </c>
      <c r="V27" t="str">
        <f t="shared" si="7"/>
        <v>04-04-2024</v>
      </c>
      <c r="W27" t="str">
        <f t="shared" si="5"/>
        <v>zakonczone</v>
      </c>
      <c r="X27" s="22">
        <f t="shared" si="6"/>
        <v>6.3846153846153858E-2</v>
      </c>
    </row>
    <row r="28" spans="1:24" x14ac:dyDescent="0.25">
      <c r="A28" s="6" t="s">
        <v>120</v>
      </c>
      <c r="B28" s="7">
        <v>45299</v>
      </c>
      <c r="C28" s="6" t="s">
        <v>52</v>
      </c>
      <c r="D28" s="6" t="s">
        <v>111</v>
      </c>
      <c r="E28" s="6" t="s">
        <v>121</v>
      </c>
      <c r="F28" s="6" t="s">
        <v>96</v>
      </c>
      <c r="G28" s="6">
        <v>12</v>
      </c>
      <c r="H28" s="8">
        <v>8.11</v>
      </c>
      <c r="I28" s="8">
        <v>97.32</v>
      </c>
      <c r="J28" s="6" t="s">
        <v>122</v>
      </c>
      <c r="K28" s="6" t="s">
        <v>50</v>
      </c>
      <c r="L28" t="str" cm="1">
        <f t="array" ref="L28">_xlfn.IFS(G28&gt;6,"Duże zamówienie",G28&lt;=6,"Standardowe")</f>
        <v>Duże zamówienie</v>
      </c>
      <c r="M28" t="str" cm="1">
        <f t="array" ref="M28">_xlfn.IFS(AND(C28="Warszawa",G28&gt;5),"Wysoki",OR(C28="Warszawa",C28="Kraków"),"Średni",TRUE,"Niski")</f>
        <v>Wysoki</v>
      </c>
      <c r="N28" t="str">
        <f>_xlfn.XLOOKUP(F28,Produkty!$A$2:$A$15,Produkty!$B$2:$B$15,"Brak w katalogu")</f>
        <v>Muffin czekoladowy</v>
      </c>
      <c r="O28" t="str">
        <f>_xlfn.XLOOKUP(N28,Produkty!$B$2:$B$15,Produkty!$C$2:$C$15,"Brak w katalogu")</f>
        <v>Wypieki</v>
      </c>
      <c r="P28" s="15">
        <f>_xlfn.XLOOKUP(Dane!F28,Produkty!$A$2:$A$15,Produkty!$D$2:$D$15)</f>
        <v>9</v>
      </c>
      <c r="Q28" s="15">
        <f t="shared" si="0"/>
        <v>0.89000000000000057</v>
      </c>
      <c r="R28" t="str">
        <f t="shared" si="1"/>
        <v>Julia Jankowska</v>
      </c>
      <c r="S28" t="str">
        <f t="shared" si="2"/>
        <v>kawiarnia.pl</v>
      </c>
      <c r="T28" t="str">
        <f t="shared" si="3"/>
        <v>J.J.</v>
      </c>
      <c r="U28" t="str">
        <f t="shared" si="4"/>
        <v>Warszawa-K011</v>
      </c>
      <c r="V28" t="str">
        <f t="shared" si="7"/>
        <v>08-01-2024</v>
      </c>
      <c r="W28" t="str">
        <f t="shared" si="5"/>
        <v>zakonczone</v>
      </c>
      <c r="X28" s="22">
        <f t="shared" si="6"/>
        <v>9.8888888888888957E-2</v>
      </c>
    </row>
    <row r="29" spans="1:24" x14ac:dyDescent="0.25">
      <c r="A29" s="6" t="s">
        <v>123</v>
      </c>
      <c r="B29" s="7">
        <v>45432</v>
      </c>
      <c r="C29" s="6" t="s">
        <v>52</v>
      </c>
      <c r="D29" s="6" t="s">
        <v>111</v>
      </c>
      <c r="E29" s="6" t="s">
        <v>121</v>
      </c>
      <c r="F29" s="6" t="s">
        <v>63</v>
      </c>
      <c r="G29" s="6">
        <v>10</v>
      </c>
      <c r="H29" s="8">
        <v>14.53</v>
      </c>
      <c r="I29" s="8">
        <v>145.30000000000001</v>
      </c>
      <c r="J29" s="6" t="s">
        <v>124</v>
      </c>
      <c r="K29" s="6" t="s">
        <v>65</v>
      </c>
      <c r="L29" t="str" cm="1">
        <f t="array" ref="L29">_xlfn.IFS(G29&gt;6,"Duże zamówienie",G29&lt;=6,"Standardowe")</f>
        <v>Duże zamówienie</v>
      </c>
      <c r="M29" t="str" cm="1">
        <f t="array" ref="M29">_xlfn.IFS(AND(C29="Warszawa",G29&gt;5),"Wysoki",OR(C29="Warszawa",C29="Kraków"),"Średni",TRUE,"Niski")</f>
        <v>Wysoki</v>
      </c>
      <c r="N29" t="str">
        <f>_xlfn.XLOOKUP(F29,Produkty!$A$2:$A$15,Produkty!$B$2:$B$15,"Brak w katalogu")</f>
        <v>Latte</v>
      </c>
      <c r="O29" t="str">
        <f>_xlfn.XLOOKUP(N29,Produkty!$B$2:$B$15,Produkty!$C$2:$C$15,"Brak w katalogu")</f>
        <v>Napoje gorące</v>
      </c>
      <c r="P29" s="15">
        <f>_xlfn.XLOOKUP(Dane!F29,Produkty!$A$2:$A$15,Produkty!$D$2:$D$15)</f>
        <v>14</v>
      </c>
      <c r="Q29" s="15">
        <f t="shared" si="0"/>
        <v>-0.52999999999999936</v>
      </c>
      <c r="R29" t="str">
        <f t="shared" si="1"/>
        <v>Julia Jankowska</v>
      </c>
      <c r="S29" t="str">
        <f t="shared" si="2"/>
        <v>kawiarnia.pl</v>
      </c>
      <c r="T29" t="str">
        <f t="shared" si="3"/>
        <v>J.J.</v>
      </c>
      <c r="U29" t="str">
        <f t="shared" si="4"/>
        <v>Warszawa-K003</v>
      </c>
      <c r="V29" t="str">
        <f t="shared" si="7"/>
        <v>20-05-2024</v>
      </c>
      <c r="W29" t="str">
        <f t="shared" si="5"/>
        <v>nowe</v>
      </c>
      <c r="X29" s="22">
        <f t="shared" si="6"/>
        <v>-3.7857142857142811E-2</v>
      </c>
    </row>
    <row r="30" spans="1:24" x14ac:dyDescent="0.25">
      <c r="A30" s="6" t="s">
        <v>125</v>
      </c>
      <c r="B30" s="7">
        <v>45316</v>
      </c>
      <c r="C30" s="6" t="s">
        <v>110</v>
      </c>
      <c r="D30" s="6" t="s">
        <v>32</v>
      </c>
      <c r="E30" s="6" t="s">
        <v>33</v>
      </c>
      <c r="F30" s="6" t="s">
        <v>63</v>
      </c>
      <c r="G30" s="6">
        <v>8</v>
      </c>
      <c r="H30" s="8">
        <v>12.72</v>
      </c>
      <c r="I30" s="8">
        <v>101.76</v>
      </c>
      <c r="J30" s="6" t="s">
        <v>126</v>
      </c>
      <c r="K30" s="6" t="s">
        <v>78</v>
      </c>
      <c r="L30" t="str" cm="1">
        <f t="array" ref="L30">_xlfn.IFS(G30&gt;6,"Duże zamówienie",G30&lt;=6,"Standardowe")</f>
        <v>Duże zamówienie</v>
      </c>
      <c r="M30" t="str" cm="1">
        <f t="array" ref="M30">_xlfn.IFS(AND(C30="Warszawa",G30&gt;5),"Wysoki",OR(C30="Warszawa",C30="Kraków"),"Średni",TRUE,"Niski")</f>
        <v>Niski</v>
      </c>
      <c r="N30" t="str">
        <f>_xlfn.XLOOKUP(F30,Produkty!$A$2:$A$15,Produkty!$B$2:$B$15,"Brak w katalogu")</f>
        <v>Latte</v>
      </c>
      <c r="O30" t="str">
        <f>_xlfn.XLOOKUP(N30,Produkty!$B$2:$B$15,Produkty!$C$2:$C$15,"Brak w katalogu")</f>
        <v>Napoje gorące</v>
      </c>
      <c r="P30" s="15">
        <f>_xlfn.XLOOKUP(Dane!F30,Produkty!$A$2:$A$15,Produkty!$D$2:$D$15)</f>
        <v>14</v>
      </c>
      <c r="Q30" s="15">
        <f t="shared" si="0"/>
        <v>1.2799999999999994</v>
      </c>
      <c r="R30" t="str">
        <f t="shared" si="1"/>
        <v>Natalia Krawczyk</v>
      </c>
      <c r="S30" t="str">
        <f t="shared" si="2"/>
        <v>kawiarnia.pl</v>
      </c>
      <c r="T30" t="str">
        <f t="shared" si="3"/>
        <v>N.K.</v>
      </c>
      <c r="U30" t="str">
        <f t="shared" si="4"/>
        <v>Wrocław-K003</v>
      </c>
      <c r="V30" t="str">
        <f t="shared" si="7"/>
        <v>25-01-2024</v>
      </c>
      <c r="W30" t="str">
        <f t="shared" si="5"/>
        <v>nowe</v>
      </c>
      <c r="X30" s="22">
        <f t="shared" si="6"/>
        <v>9.1428571428571387E-2</v>
      </c>
    </row>
    <row r="31" spans="1:24" x14ac:dyDescent="0.25">
      <c r="A31" s="6" t="s">
        <v>127</v>
      </c>
      <c r="B31" s="7">
        <v>45409</v>
      </c>
      <c r="C31" s="6" t="s">
        <v>45</v>
      </c>
      <c r="D31" s="6" t="s">
        <v>39</v>
      </c>
      <c r="E31" s="6" t="s">
        <v>128</v>
      </c>
      <c r="F31" s="6" t="s">
        <v>55</v>
      </c>
      <c r="G31" s="6">
        <v>11</v>
      </c>
      <c r="H31" s="8">
        <v>9.5500000000000007</v>
      </c>
      <c r="I31" s="8">
        <v>105.05</v>
      </c>
      <c r="J31" s="6" t="s">
        <v>106</v>
      </c>
      <c r="K31" s="6" t="s">
        <v>61</v>
      </c>
      <c r="L31" t="str" cm="1">
        <f t="array" ref="L31">_xlfn.IFS(G31&gt;6,"Duże zamówienie",G31&lt;=6,"Standardowe")</f>
        <v>Duże zamówienie</v>
      </c>
      <c r="M31" t="str" cm="1">
        <f t="array" ref="M31">_xlfn.IFS(AND(C31="Warszawa",G31&gt;5),"Wysoki",OR(C31="Warszawa",C31="Kraków"),"Średni",TRUE,"Niski")</f>
        <v>Średni</v>
      </c>
      <c r="N31" t="str">
        <f>_xlfn.XLOOKUP(F31,Produkty!$A$2:$A$15,Produkty!$B$2:$B$15,"Brak w katalogu")</f>
        <v>Herbata liściasta</v>
      </c>
      <c r="O31" t="str">
        <f>_xlfn.XLOOKUP(N31,Produkty!$B$2:$B$15,Produkty!$C$2:$C$15,"Brak w katalogu")</f>
        <v>Napoje gorące</v>
      </c>
      <c r="P31" s="15">
        <f>_xlfn.XLOOKUP(Dane!F31,Produkty!$A$2:$A$15,Produkty!$D$2:$D$15)</f>
        <v>10</v>
      </c>
      <c r="Q31" s="15">
        <f t="shared" si="0"/>
        <v>0.44999999999999929</v>
      </c>
      <c r="R31" t="str">
        <f t="shared" si="1"/>
        <v>Aleksandra Kowal</v>
      </c>
      <c r="S31" t="str">
        <f t="shared" si="2"/>
        <v>kawiarnia.pl</v>
      </c>
      <c r="T31" t="str">
        <f t="shared" si="3"/>
        <v>A.K.</v>
      </c>
      <c r="U31" t="str">
        <f t="shared" si="4"/>
        <v>Kraków-K005</v>
      </c>
      <c r="V31" t="str">
        <f t="shared" si="7"/>
        <v>27-04-2024</v>
      </c>
      <c r="W31" t="str">
        <f t="shared" si="5"/>
        <v>w realizacji</v>
      </c>
      <c r="X31" s="22">
        <f t="shared" si="6"/>
        <v>4.4999999999999929E-2</v>
      </c>
    </row>
    <row r="32" spans="1:24" x14ac:dyDescent="0.25">
      <c r="A32" s="6" t="s">
        <v>129</v>
      </c>
      <c r="B32" s="7">
        <v>45578</v>
      </c>
      <c r="C32" s="6" t="s">
        <v>45</v>
      </c>
      <c r="D32" s="6" t="s">
        <v>111</v>
      </c>
      <c r="E32" s="6" t="s">
        <v>112</v>
      </c>
      <c r="F32" s="6" t="s">
        <v>88</v>
      </c>
      <c r="G32" s="6">
        <v>2</v>
      </c>
      <c r="H32" s="8">
        <v>8.09</v>
      </c>
      <c r="I32" s="8">
        <v>16.18</v>
      </c>
      <c r="J32" s="6" t="s">
        <v>130</v>
      </c>
      <c r="K32" s="6" t="s">
        <v>36</v>
      </c>
      <c r="L32" t="str" cm="1">
        <f t="array" ref="L32">_xlfn.IFS(G32&gt;6,"Duże zamówienie",G32&lt;=6,"Standardowe")</f>
        <v>Standardowe</v>
      </c>
      <c r="M32" t="str" cm="1">
        <f t="array" ref="M32">_xlfn.IFS(AND(C32="Warszawa",G32&gt;5),"Wysoki",OR(C32="Warszawa",C32="Kraków"),"Średni",TRUE,"Niski")</f>
        <v>Średni</v>
      </c>
      <c r="N32" t="str">
        <f>_xlfn.XLOOKUP(F32,Produkty!$A$2:$A$15,Produkty!$B$2:$B$15,"Brak w katalogu")</f>
        <v>Croissant</v>
      </c>
      <c r="O32" t="str">
        <f>_xlfn.XLOOKUP(N32,Produkty!$B$2:$B$15,Produkty!$C$2:$C$15,"Brak w katalogu")</f>
        <v>Wypieki</v>
      </c>
      <c r="P32" s="15">
        <f>_xlfn.XLOOKUP(Dane!F32,Produkty!$A$2:$A$15,Produkty!$D$2:$D$15)</f>
        <v>8</v>
      </c>
      <c r="Q32" s="15">
        <f t="shared" si="0"/>
        <v>-8.9999999999999858E-2</v>
      </c>
      <c r="R32" t="str">
        <f t="shared" si="1"/>
        <v>Julia Jankowska</v>
      </c>
      <c r="S32" t="str">
        <f t="shared" si="2"/>
        <v>kawiarnia.pl</v>
      </c>
      <c r="T32" t="str">
        <f t="shared" si="3"/>
        <v>J.J.</v>
      </c>
      <c r="U32" t="str">
        <f t="shared" si="4"/>
        <v>Kraków-K009</v>
      </c>
      <c r="V32" t="str">
        <f t="shared" si="7"/>
        <v>13-10-2024</v>
      </c>
      <c r="W32" t="str">
        <f t="shared" si="5"/>
        <v>w realizacji</v>
      </c>
      <c r="X32" s="22">
        <f t="shared" si="6"/>
        <v>-1.1249999999999982E-2</v>
      </c>
    </row>
    <row r="33" spans="1:24" x14ac:dyDescent="0.25">
      <c r="A33" s="6" t="s">
        <v>131</v>
      </c>
      <c r="B33" s="7">
        <v>45356</v>
      </c>
      <c r="C33" s="6" t="s">
        <v>45</v>
      </c>
      <c r="D33" s="6" t="s">
        <v>46</v>
      </c>
      <c r="E33" s="6" t="s">
        <v>80</v>
      </c>
      <c r="F33" s="6" t="s">
        <v>76</v>
      </c>
      <c r="G33" s="6">
        <v>9</v>
      </c>
      <c r="H33" s="8">
        <v>21.93</v>
      </c>
      <c r="I33" s="8">
        <v>197.37</v>
      </c>
      <c r="J33" s="6" t="s">
        <v>132</v>
      </c>
      <c r="K33" s="6" t="s">
        <v>43</v>
      </c>
      <c r="L33" t="str" cm="1">
        <f t="array" ref="L33">_xlfn.IFS(G33&gt;6,"Duże zamówienie",G33&lt;=6,"Standardowe")</f>
        <v>Duże zamówienie</v>
      </c>
      <c r="M33" t="str" cm="1">
        <f t="array" ref="M33">_xlfn.IFS(AND(C33="Warszawa",G33&gt;5),"Wysoki",OR(C33="Warszawa",C33="Kraków"),"Średni",TRUE,"Niski")</f>
        <v>Średni</v>
      </c>
      <c r="N33" t="str">
        <f>_xlfn.XLOOKUP(F33,Produkty!$A$2:$A$15,Produkty!$B$2:$B$15,"Brak w katalogu")</f>
        <v>Sałatka Cesar</v>
      </c>
      <c r="O33" t="str">
        <f>_xlfn.XLOOKUP(N33,Produkty!$B$2:$B$15,Produkty!$C$2:$C$15,"Brak w katalogu")</f>
        <v>Przekąski</v>
      </c>
      <c r="P33" s="15">
        <f>_xlfn.XLOOKUP(Dane!F33,Produkty!$A$2:$A$15,Produkty!$D$2:$D$15)</f>
        <v>22</v>
      </c>
      <c r="Q33" s="15">
        <f t="shared" si="0"/>
        <v>7.0000000000000284E-2</v>
      </c>
      <c r="R33" t="str">
        <f t="shared" si="1"/>
        <v>Bartosz Zajac</v>
      </c>
      <c r="S33" t="str">
        <f t="shared" si="2"/>
        <v>kawiarnia.pl</v>
      </c>
      <c r="T33" t="str">
        <f t="shared" si="3"/>
        <v>B.Z.</v>
      </c>
      <c r="U33" t="str">
        <f t="shared" si="4"/>
        <v>Kraków-K013</v>
      </c>
      <c r="V33" t="str">
        <f t="shared" si="7"/>
        <v>05-03-2024</v>
      </c>
      <c r="W33" t="str">
        <f t="shared" si="5"/>
        <v>zakonczone</v>
      </c>
      <c r="X33" s="22">
        <f t="shared" si="6"/>
        <v>3.1818181818181949E-3</v>
      </c>
    </row>
    <row r="34" spans="1:24" x14ac:dyDescent="0.25">
      <c r="A34" s="6" t="s">
        <v>133</v>
      </c>
      <c r="B34" s="7">
        <v>45410</v>
      </c>
      <c r="C34" s="6" t="s">
        <v>38</v>
      </c>
      <c r="D34" s="6" t="s">
        <v>46</v>
      </c>
      <c r="E34" s="6" t="s">
        <v>47</v>
      </c>
      <c r="F34" s="6" t="s">
        <v>84</v>
      </c>
      <c r="G34" s="6">
        <v>11</v>
      </c>
      <c r="H34" s="8">
        <v>15.45</v>
      </c>
      <c r="I34" s="8">
        <v>169.95</v>
      </c>
      <c r="J34" s="6" t="s">
        <v>134</v>
      </c>
      <c r="K34" s="6" t="s">
        <v>61</v>
      </c>
      <c r="L34" t="str" cm="1">
        <f t="array" ref="L34">_xlfn.IFS(G34&gt;6,"Duże zamówienie",G34&lt;=6,"Standardowe")</f>
        <v>Duże zamówienie</v>
      </c>
      <c r="M34" t="str" cm="1">
        <f t="array" ref="M34">_xlfn.IFS(AND(C34="Warszawa",G34&gt;5),"Wysoki",OR(C34="Warszawa",C34="Kraków"),"Średni",TRUE,"Niski")</f>
        <v>Niski</v>
      </c>
      <c r="N34" t="str">
        <f>_xlfn.XLOOKUP(F34,Produkty!$A$2:$A$15,Produkty!$B$2:$B$15,"Brak w katalogu")</f>
        <v>Mrożona kawa</v>
      </c>
      <c r="O34" t="str">
        <f>_xlfn.XLOOKUP(N34,Produkty!$B$2:$B$15,Produkty!$C$2:$C$15,"Brak w katalogu")</f>
        <v>Napoje zimne</v>
      </c>
      <c r="P34" s="15">
        <f>_xlfn.XLOOKUP(Dane!F34,Produkty!$A$2:$A$15,Produkty!$D$2:$D$15)</f>
        <v>16</v>
      </c>
      <c r="Q34" s="15">
        <f t="shared" si="0"/>
        <v>0.55000000000000071</v>
      </c>
      <c r="R34" t="str">
        <f t="shared" si="1"/>
        <v>Bartosz Zajac</v>
      </c>
      <c r="S34" t="str">
        <f t="shared" si="2"/>
        <v>kawiarnia.pl</v>
      </c>
      <c r="T34" t="str">
        <f t="shared" si="3"/>
        <v>B.Z.</v>
      </c>
      <c r="U34" t="str">
        <f t="shared" si="4"/>
        <v>Gdańsk-K006</v>
      </c>
      <c r="V34" t="str">
        <f t="shared" si="7"/>
        <v>28-04-2024</v>
      </c>
      <c r="W34" t="str">
        <f t="shared" si="5"/>
        <v>w realizacji</v>
      </c>
      <c r="X34" s="22">
        <f t="shared" si="6"/>
        <v>3.4375000000000044E-2</v>
      </c>
    </row>
    <row r="35" spans="1:24" x14ac:dyDescent="0.25">
      <c r="A35" s="6" t="s">
        <v>135</v>
      </c>
      <c r="B35" s="7">
        <v>45348</v>
      </c>
      <c r="C35" s="6" t="s">
        <v>45</v>
      </c>
      <c r="D35" s="6" t="s">
        <v>53</v>
      </c>
      <c r="E35" s="6" t="s">
        <v>58</v>
      </c>
      <c r="F35" s="6" t="s">
        <v>113</v>
      </c>
      <c r="G35" s="6">
        <v>1</v>
      </c>
      <c r="H35" s="8">
        <v>15.89</v>
      </c>
      <c r="I35" s="8">
        <v>15.89</v>
      </c>
      <c r="J35" s="6" t="s">
        <v>122</v>
      </c>
      <c r="K35" s="6" t="s">
        <v>65</v>
      </c>
      <c r="L35" t="str" cm="1">
        <f t="array" ref="L35">_xlfn.IFS(G35&gt;6,"Duże zamówienie",G35&lt;=6,"Standardowe")</f>
        <v>Standardowe</v>
      </c>
      <c r="M35" t="str" cm="1">
        <f t="array" ref="M35">_xlfn.IFS(AND(C35="Warszawa",G35&gt;5),"Wysoki",OR(C35="Warszawa",C35="Kraków"),"Średni",TRUE,"Niski")</f>
        <v>Średni</v>
      </c>
      <c r="N35" t="str">
        <f>_xlfn.XLOOKUP(F35,Produkty!$A$2:$A$15,Produkty!$B$2:$B$15,"Brak w katalogu")</f>
        <v>Bagietka z szynką</v>
      </c>
      <c r="O35" t="str">
        <f>_xlfn.XLOOKUP(N35,Produkty!$B$2:$B$15,Produkty!$C$2:$C$15,"Brak w katalogu")</f>
        <v>Przekąski</v>
      </c>
      <c r="P35" s="15">
        <f>_xlfn.XLOOKUP(Dane!F35,Produkty!$A$2:$A$15,Produkty!$D$2:$D$15)</f>
        <v>17</v>
      </c>
      <c r="Q35" s="15">
        <f t="shared" si="0"/>
        <v>1.1099999999999994</v>
      </c>
      <c r="R35" t="str">
        <f t="shared" si="1"/>
        <v>Weronika Duda</v>
      </c>
      <c r="S35" t="str">
        <f t="shared" si="2"/>
        <v>kawiarnia.pl</v>
      </c>
      <c r="T35" t="str">
        <f t="shared" si="3"/>
        <v>W.D.</v>
      </c>
      <c r="U35" t="str">
        <f t="shared" si="4"/>
        <v>Kraków-K012</v>
      </c>
      <c r="V35" t="str">
        <f t="shared" si="7"/>
        <v>26-02-2024</v>
      </c>
      <c r="W35" t="str">
        <f t="shared" si="5"/>
        <v>nowe</v>
      </c>
      <c r="X35" s="22">
        <f t="shared" si="6"/>
        <v>6.5294117647058794E-2</v>
      </c>
    </row>
    <row r="36" spans="1:24" x14ac:dyDescent="0.25">
      <c r="A36" s="6" t="s">
        <v>136</v>
      </c>
      <c r="B36" s="7">
        <v>45412</v>
      </c>
      <c r="C36" s="6" t="s">
        <v>38</v>
      </c>
      <c r="D36" s="6" t="s">
        <v>53</v>
      </c>
      <c r="E36" s="6" t="s">
        <v>58</v>
      </c>
      <c r="F36" s="6" t="s">
        <v>48</v>
      </c>
      <c r="G36" s="6">
        <v>2</v>
      </c>
      <c r="H36" s="8">
        <v>6.19</v>
      </c>
      <c r="I36" s="8">
        <v>12.38</v>
      </c>
      <c r="J36" s="6" t="s">
        <v>137</v>
      </c>
      <c r="K36" s="6" t="s">
        <v>61</v>
      </c>
      <c r="L36" t="str" cm="1">
        <f t="array" ref="L36">_xlfn.IFS(G36&gt;6,"Duże zamówienie",G36&lt;=6,"Standardowe")</f>
        <v>Standardowe</v>
      </c>
      <c r="M36" t="str" cm="1">
        <f t="array" ref="M36">_xlfn.IFS(AND(C36="Warszawa",G36&gt;5),"Wysoki",OR(C36="Warszawa",C36="Kraków"),"Średni",TRUE,"Niski")</f>
        <v>Niski</v>
      </c>
      <c r="N36" t="str">
        <f>_xlfn.XLOOKUP(F36,Produkty!$A$2:$A$15,Produkty!$B$2:$B$15,"Brak w katalogu")</f>
        <v>Batonik musli</v>
      </c>
      <c r="O36" t="str">
        <f>_xlfn.XLOOKUP(N36,Produkty!$B$2:$B$15,Produkty!$C$2:$C$15,"Brak w katalogu")</f>
        <v>Przekąski</v>
      </c>
      <c r="P36" s="15">
        <f>_xlfn.XLOOKUP(Dane!F36,Produkty!$A$2:$A$15,Produkty!$D$2:$D$15)</f>
        <v>6</v>
      </c>
      <c r="Q36" s="15">
        <f t="shared" si="0"/>
        <v>-0.19000000000000039</v>
      </c>
      <c r="R36" t="str">
        <f t="shared" si="1"/>
        <v>Weronika Duda</v>
      </c>
      <c r="S36" t="str">
        <f t="shared" si="2"/>
        <v>kawiarnia.pl</v>
      </c>
      <c r="T36" t="str">
        <f t="shared" si="3"/>
        <v>W.D.</v>
      </c>
      <c r="U36" t="str">
        <f t="shared" si="4"/>
        <v>Gdańsk-K014</v>
      </c>
      <c r="V36" t="str">
        <f t="shared" si="7"/>
        <v>30-04-2024</v>
      </c>
      <c r="W36" t="str">
        <f t="shared" si="5"/>
        <v>w realizacji</v>
      </c>
      <c r="X36" s="22">
        <f t="shared" si="6"/>
        <v>-3.1666666666666732E-2</v>
      </c>
    </row>
    <row r="37" spans="1:24" x14ac:dyDescent="0.25">
      <c r="A37" s="6" t="s">
        <v>138</v>
      </c>
      <c r="B37" s="7">
        <v>45519</v>
      </c>
      <c r="C37" s="6" t="s">
        <v>110</v>
      </c>
      <c r="D37" s="6" t="s">
        <v>74</v>
      </c>
      <c r="E37" s="6" t="s">
        <v>139</v>
      </c>
      <c r="F37" s="6" t="s">
        <v>59</v>
      </c>
      <c r="G37" s="6">
        <v>7</v>
      </c>
      <c r="H37" s="8">
        <v>13.55</v>
      </c>
      <c r="I37" s="8">
        <v>94.85</v>
      </c>
      <c r="J37" s="6" t="s">
        <v>137</v>
      </c>
      <c r="K37" s="6" t="s">
        <v>61</v>
      </c>
      <c r="L37" t="str" cm="1">
        <f t="array" ref="L37">_xlfn.IFS(G37&gt;6,"Duże zamówienie",G37&lt;=6,"Standardowe")</f>
        <v>Duże zamówienie</v>
      </c>
      <c r="M37" t="str" cm="1">
        <f t="array" ref="M37">_xlfn.IFS(AND(C37="Warszawa",G37&gt;5),"Wysoki",OR(C37="Warszawa",C37="Kraków"),"Średni",TRUE,"Niski")</f>
        <v>Niski</v>
      </c>
      <c r="N37" t="str">
        <f>_xlfn.XLOOKUP(F37,Produkty!$A$2:$A$15,Produkty!$B$2:$B$15,"Brak w katalogu")</f>
        <v>Sernik</v>
      </c>
      <c r="O37" t="str">
        <f>_xlfn.XLOOKUP(N37,Produkty!$B$2:$B$15,Produkty!$C$2:$C$15,"Brak w katalogu")</f>
        <v>Wypieki</v>
      </c>
      <c r="P37" s="15">
        <f>_xlfn.XLOOKUP(Dane!F37,Produkty!$A$2:$A$15,Produkty!$D$2:$D$15)</f>
        <v>15</v>
      </c>
      <c r="Q37" s="15">
        <f t="shared" si="0"/>
        <v>1.4499999999999993</v>
      </c>
      <c r="R37" t="str">
        <f t="shared" si="1"/>
        <v>Pawel Mazur</v>
      </c>
      <c r="S37" t="str">
        <f t="shared" si="2"/>
        <v>kawiarnia.pl</v>
      </c>
      <c r="T37" t="str">
        <f t="shared" si="3"/>
        <v>P.M.</v>
      </c>
      <c r="U37" t="str">
        <f t="shared" si="4"/>
        <v>Wrocław-K010</v>
      </c>
      <c r="V37" t="str">
        <f t="shared" si="7"/>
        <v>15-08-2024</v>
      </c>
      <c r="W37" t="str">
        <f t="shared" si="5"/>
        <v>w realizacji</v>
      </c>
      <c r="X37" s="22">
        <f t="shared" si="6"/>
        <v>9.6666666666666623E-2</v>
      </c>
    </row>
    <row r="38" spans="1:24" x14ac:dyDescent="0.25">
      <c r="A38" s="6" t="s">
        <v>140</v>
      </c>
      <c r="B38" s="7">
        <v>45297</v>
      </c>
      <c r="C38" s="6" t="s">
        <v>110</v>
      </c>
      <c r="D38" s="6" t="s">
        <v>74</v>
      </c>
      <c r="E38" s="6" t="s">
        <v>139</v>
      </c>
      <c r="F38" s="6" t="s">
        <v>41</v>
      </c>
      <c r="G38" s="6">
        <v>2</v>
      </c>
      <c r="H38" s="8">
        <v>10.87</v>
      </c>
      <c r="I38" s="8">
        <v>21.74</v>
      </c>
      <c r="J38" s="6" t="s">
        <v>137</v>
      </c>
      <c r="K38" s="6" t="s">
        <v>50</v>
      </c>
      <c r="L38" t="str" cm="1">
        <f t="array" ref="L38">_xlfn.IFS(G38&gt;6,"Duże zamówienie",G38&lt;=6,"Standardowe")</f>
        <v>Standardowe</v>
      </c>
      <c r="M38" t="str" cm="1">
        <f t="array" ref="M38">_xlfn.IFS(AND(C38="Warszawa",G38&gt;5),"Wysoki",OR(C38="Warszawa",C38="Kraków"),"Średni",TRUE,"Niski")</f>
        <v>Niski</v>
      </c>
      <c r="N38" t="str">
        <f>_xlfn.XLOOKUP(F38,Produkty!$A$2:$A$15,Produkty!$B$2:$B$15,"Brak w katalogu")</f>
        <v>Lemoniada</v>
      </c>
      <c r="O38" t="str">
        <f>_xlfn.XLOOKUP(N38,Produkty!$B$2:$B$15,Produkty!$C$2:$C$15,"Brak w katalogu")</f>
        <v>Napoje zimne</v>
      </c>
      <c r="P38" s="15">
        <f>_xlfn.XLOOKUP(Dane!F38,Produkty!$A$2:$A$15,Produkty!$D$2:$D$15)</f>
        <v>12</v>
      </c>
      <c r="Q38" s="15">
        <f t="shared" si="0"/>
        <v>1.1300000000000008</v>
      </c>
      <c r="R38" t="str">
        <f t="shared" si="1"/>
        <v>Pawel Mazur</v>
      </c>
      <c r="S38" t="str">
        <f t="shared" si="2"/>
        <v>kawiarnia.pl</v>
      </c>
      <c r="T38" t="str">
        <f t="shared" si="3"/>
        <v>P.M.</v>
      </c>
      <c r="U38" t="str">
        <f t="shared" si="4"/>
        <v>Wrocław-K007</v>
      </c>
      <c r="V38" t="str">
        <f t="shared" si="7"/>
        <v>06-01-2024</v>
      </c>
      <c r="W38" t="str">
        <f t="shared" si="5"/>
        <v>zakonczone</v>
      </c>
      <c r="X38" s="22">
        <f t="shared" si="6"/>
        <v>9.4166666666666732E-2</v>
      </c>
    </row>
    <row r="39" spans="1:24" x14ac:dyDescent="0.25">
      <c r="A39" s="6" t="s">
        <v>141</v>
      </c>
      <c r="B39" s="7">
        <v>45641</v>
      </c>
      <c r="C39" s="6" t="s">
        <v>110</v>
      </c>
      <c r="D39" s="6" t="s">
        <v>111</v>
      </c>
      <c r="E39" s="6" t="s">
        <v>112</v>
      </c>
      <c r="F39" s="6" t="s">
        <v>48</v>
      </c>
      <c r="G39" s="6">
        <v>1</v>
      </c>
      <c r="H39" s="8">
        <v>5.74</v>
      </c>
      <c r="I39" s="8">
        <v>5.74</v>
      </c>
      <c r="J39" s="6" t="s">
        <v>142</v>
      </c>
      <c r="K39" s="6" t="s">
        <v>50</v>
      </c>
      <c r="L39" t="str" cm="1">
        <f t="array" ref="L39">_xlfn.IFS(G39&gt;6,"Duże zamówienie",G39&lt;=6,"Standardowe")</f>
        <v>Standardowe</v>
      </c>
      <c r="M39" t="str" cm="1">
        <f t="array" ref="M39">_xlfn.IFS(AND(C39="Warszawa",G39&gt;5),"Wysoki",OR(C39="Warszawa",C39="Kraków"),"Średni",TRUE,"Niski")</f>
        <v>Niski</v>
      </c>
      <c r="N39" t="str">
        <f>_xlfn.XLOOKUP(F39,Produkty!$A$2:$A$15,Produkty!$B$2:$B$15,"Brak w katalogu")</f>
        <v>Batonik musli</v>
      </c>
      <c r="O39" t="str">
        <f>_xlfn.XLOOKUP(N39,Produkty!$B$2:$B$15,Produkty!$C$2:$C$15,"Brak w katalogu")</f>
        <v>Przekąski</v>
      </c>
      <c r="P39" s="15">
        <f>_xlfn.XLOOKUP(Dane!F39,Produkty!$A$2:$A$15,Produkty!$D$2:$D$15)</f>
        <v>6</v>
      </c>
      <c r="Q39" s="15">
        <f t="shared" si="0"/>
        <v>0.25999999999999979</v>
      </c>
      <c r="R39" t="str">
        <f t="shared" si="1"/>
        <v>Julia Jankowska</v>
      </c>
      <c r="S39" t="str">
        <f t="shared" si="2"/>
        <v>kawiarnia.pl</v>
      </c>
      <c r="T39" t="str">
        <f t="shared" si="3"/>
        <v>J.J.</v>
      </c>
      <c r="U39" t="str">
        <f t="shared" si="4"/>
        <v>Wrocław-K014</v>
      </c>
      <c r="V39" t="str">
        <f t="shared" si="7"/>
        <v>15-12-2024</v>
      </c>
      <c r="W39" t="str">
        <f t="shared" si="5"/>
        <v>zakonczone</v>
      </c>
      <c r="X39" s="22">
        <f t="shared" si="6"/>
        <v>4.33333333333333E-2</v>
      </c>
    </row>
    <row r="40" spans="1:24" x14ac:dyDescent="0.25">
      <c r="A40" s="6" t="s">
        <v>143</v>
      </c>
      <c r="B40" s="7">
        <v>45408</v>
      </c>
      <c r="C40" s="6" t="s">
        <v>38</v>
      </c>
      <c r="D40" s="6" t="s">
        <v>46</v>
      </c>
      <c r="E40" s="6" t="s">
        <v>80</v>
      </c>
      <c r="F40" s="6" t="s">
        <v>76</v>
      </c>
      <c r="G40" s="6">
        <v>5</v>
      </c>
      <c r="H40" s="8">
        <v>22.24</v>
      </c>
      <c r="I40" s="8">
        <v>111.2</v>
      </c>
      <c r="J40" s="6" t="s">
        <v>93</v>
      </c>
      <c r="K40" s="6" t="s">
        <v>50</v>
      </c>
      <c r="L40" t="str" cm="1">
        <f t="array" ref="L40">_xlfn.IFS(G40&gt;6,"Duże zamówienie",G40&lt;=6,"Standardowe")</f>
        <v>Standardowe</v>
      </c>
      <c r="M40" t="str" cm="1">
        <f t="array" ref="M40">_xlfn.IFS(AND(C40="Warszawa",G40&gt;5),"Wysoki",OR(C40="Warszawa",C40="Kraków"),"Średni",TRUE,"Niski")</f>
        <v>Niski</v>
      </c>
      <c r="N40" t="str">
        <f>_xlfn.XLOOKUP(F40,Produkty!$A$2:$A$15,Produkty!$B$2:$B$15,"Brak w katalogu")</f>
        <v>Sałatka Cesar</v>
      </c>
      <c r="O40" t="str">
        <f>_xlfn.XLOOKUP(N40,Produkty!$B$2:$B$15,Produkty!$C$2:$C$15,"Brak w katalogu")</f>
        <v>Przekąski</v>
      </c>
      <c r="P40" s="15">
        <f>_xlfn.XLOOKUP(Dane!F40,Produkty!$A$2:$A$15,Produkty!$D$2:$D$15)</f>
        <v>22</v>
      </c>
      <c r="Q40" s="15">
        <f t="shared" si="0"/>
        <v>-0.23999999999999844</v>
      </c>
      <c r="R40" t="str">
        <f t="shared" si="1"/>
        <v>Bartosz Zajac</v>
      </c>
      <c r="S40" t="str">
        <f t="shared" si="2"/>
        <v>kawiarnia.pl</v>
      </c>
      <c r="T40" t="str">
        <f t="shared" si="3"/>
        <v>B.Z.</v>
      </c>
      <c r="U40" t="str">
        <f t="shared" si="4"/>
        <v>Gdańsk-K013</v>
      </c>
      <c r="V40" t="str">
        <f t="shared" si="7"/>
        <v>26-04-2024</v>
      </c>
      <c r="W40" t="str">
        <f t="shared" si="5"/>
        <v>zakonczone</v>
      </c>
      <c r="X40" s="22">
        <f t="shared" si="6"/>
        <v>-1.0909090909090839E-2</v>
      </c>
    </row>
    <row r="41" spans="1:24" x14ac:dyDescent="0.25">
      <c r="A41" s="6" t="s">
        <v>144</v>
      </c>
      <c r="B41" s="7">
        <v>45408</v>
      </c>
      <c r="C41" s="6" t="s">
        <v>45</v>
      </c>
      <c r="D41" s="6" t="s">
        <v>70</v>
      </c>
      <c r="E41" s="6" t="s">
        <v>145</v>
      </c>
      <c r="F41" s="6" t="s">
        <v>96</v>
      </c>
      <c r="G41" s="6">
        <v>5</v>
      </c>
      <c r="H41" s="8">
        <v>8.32</v>
      </c>
      <c r="I41" s="8">
        <v>41.6</v>
      </c>
      <c r="J41" s="6" t="s">
        <v>146</v>
      </c>
      <c r="K41" s="6" t="s">
        <v>65</v>
      </c>
      <c r="L41" t="str" cm="1">
        <f t="array" ref="L41">_xlfn.IFS(G41&gt;6,"Duże zamówienie",G41&lt;=6,"Standardowe")</f>
        <v>Standardowe</v>
      </c>
      <c r="M41" t="str" cm="1">
        <f t="array" ref="M41">_xlfn.IFS(AND(C41="Warszawa",G41&gt;5),"Wysoki",OR(C41="Warszawa",C41="Kraków"),"Średni",TRUE,"Niski")</f>
        <v>Średni</v>
      </c>
      <c r="N41" t="str">
        <f>_xlfn.XLOOKUP(F41,Produkty!$A$2:$A$15,Produkty!$B$2:$B$15,"Brak w katalogu")</f>
        <v>Muffin czekoladowy</v>
      </c>
      <c r="O41" t="str">
        <f>_xlfn.XLOOKUP(N41,Produkty!$B$2:$B$15,Produkty!$C$2:$C$15,"Brak w katalogu")</f>
        <v>Wypieki</v>
      </c>
      <c r="P41" s="15">
        <f>_xlfn.XLOOKUP(Dane!F41,Produkty!$A$2:$A$15,Produkty!$D$2:$D$15)</f>
        <v>9</v>
      </c>
      <c r="Q41" s="15">
        <f t="shared" si="0"/>
        <v>0.67999999999999972</v>
      </c>
      <c r="R41" t="str">
        <f t="shared" si="1"/>
        <v>Kamil Wozniak</v>
      </c>
      <c r="S41" t="str">
        <f t="shared" si="2"/>
        <v>kawiarnia.pl</v>
      </c>
      <c r="T41" t="str">
        <f t="shared" si="3"/>
        <v>K.W.</v>
      </c>
      <c r="U41" t="str">
        <f t="shared" si="4"/>
        <v>Kraków-K011</v>
      </c>
      <c r="V41" t="str">
        <f t="shared" si="7"/>
        <v>26-04-2024</v>
      </c>
      <c r="W41" t="str">
        <f t="shared" si="5"/>
        <v>nowe</v>
      </c>
      <c r="X41" s="22">
        <f t="shared" si="6"/>
        <v>7.5555555555555529E-2</v>
      </c>
    </row>
    <row r="42" spans="1:24" x14ac:dyDescent="0.25">
      <c r="A42" s="6" t="s">
        <v>147</v>
      </c>
      <c r="B42" s="7">
        <v>45514</v>
      </c>
      <c r="C42" s="6" t="s">
        <v>52</v>
      </c>
      <c r="D42" s="6" t="s">
        <v>148</v>
      </c>
      <c r="E42" s="6" t="s">
        <v>149</v>
      </c>
      <c r="F42" s="6" t="s">
        <v>63</v>
      </c>
      <c r="G42" s="6">
        <v>11</v>
      </c>
      <c r="H42" s="8">
        <v>13.23</v>
      </c>
      <c r="I42" s="8">
        <v>145.53</v>
      </c>
      <c r="J42" s="6" t="s">
        <v>35</v>
      </c>
      <c r="K42" s="6" t="s">
        <v>61</v>
      </c>
      <c r="L42" t="str" cm="1">
        <f t="array" ref="L42">_xlfn.IFS(G42&gt;6,"Duże zamówienie",G42&lt;=6,"Standardowe")</f>
        <v>Duże zamówienie</v>
      </c>
      <c r="M42" t="str" cm="1">
        <f t="array" ref="M42">_xlfn.IFS(AND(C42="Warszawa",G42&gt;5),"Wysoki",OR(C42="Warszawa",C42="Kraków"),"Średni",TRUE,"Niski")</f>
        <v>Wysoki</v>
      </c>
      <c r="N42" t="str">
        <f>_xlfn.XLOOKUP(F42,Produkty!$A$2:$A$15,Produkty!$B$2:$B$15,"Brak w katalogu")</f>
        <v>Latte</v>
      </c>
      <c r="O42" t="str">
        <f>_xlfn.XLOOKUP(N42,Produkty!$B$2:$B$15,Produkty!$C$2:$C$15,"Brak w katalogu")</f>
        <v>Napoje gorące</v>
      </c>
      <c r="P42" s="15">
        <f>_xlfn.XLOOKUP(Dane!F42,Produkty!$A$2:$A$15,Produkty!$D$2:$D$15)</f>
        <v>14</v>
      </c>
      <c r="Q42" s="15">
        <f t="shared" si="0"/>
        <v>0.76999999999999957</v>
      </c>
      <c r="R42" t="str">
        <f t="shared" si="1"/>
        <v>Michal Nowicki</v>
      </c>
      <c r="S42" t="str">
        <f t="shared" si="2"/>
        <v>kawiarnia.pl</v>
      </c>
      <c r="T42" t="str">
        <f t="shared" si="3"/>
        <v>M.N.</v>
      </c>
      <c r="U42" t="str">
        <f t="shared" si="4"/>
        <v>Warszawa-K003</v>
      </c>
      <c r="V42" t="str">
        <f t="shared" si="7"/>
        <v>10-08-2024</v>
      </c>
      <c r="W42" t="str">
        <f t="shared" si="5"/>
        <v>w realizacji</v>
      </c>
      <c r="X42" s="22">
        <f t="shared" si="6"/>
        <v>5.4999999999999973E-2</v>
      </c>
    </row>
    <row r="43" spans="1:24" x14ac:dyDescent="0.25">
      <c r="A43" s="6" t="s">
        <v>150</v>
      </c>
      <c r="B43" s="7">
        <v>45588</v>
      </c>
      <c r="C43" s="6" t="s">
        <v>31</v>
      </c>
      <c r="D43" s="6" t="s">
        <v>46</v>
      </c>
      <c r="E43" s="6" t="s">
        <v>83</v>
      </c>
      <c r="F43" s="6" t="s">
        <v>102</v>
      </c>
      <c r="G43" s="6">
        <v>9</v>
      </c>
      <c r="H43" s="8">
        <v>8.6300000000000008</v>
      </c>
      <c r="I43" s="8">
        <v>77.67</v>
      </c>
      <c r="J43" s="6" t="s">
        <v>151</v>
      </c>
      <c r="K43" s="6" t="s">
        <v>65</v>
      </c>
      <c r="L43" t="str" cm="1">
        <f t="array" ref="L43">_xlfn.IFS(G43&gt;6,"Duże zamówienie",G43&lt;=6,"Standardowe")</f>
        <v>Duże zamówienie</v>
      </c>
      <c r="M43" t="str" cm="1">
        <f t="array" ref="M43">_xlfn.IFS(AND(C43="Warszawa",G43&gt;5),"Wysoki",OR(C43="Warszawa",C43="Kraków"),"Średni",TRUE,"Niski")</f>
        <v>Niski</v>
      </c>
      <c r="N43" t="str">
        <f>_xlfn.XLOOKUP(F43,Produkty!$A$2:$A$15,Produkty!$B$2:$B$15,"Brak w katalogu")</f>
        <v>Espresso</v>
      </c>
      <c r="O43" t="str">
        <f>_xlfn.XLOOKUP(N43,Produkty!$B$2:$B$15,Produkty!$C$2:$C$15,"Brak w katalogu")</f>
        <v>Napoje gorące</v>
      </c>
      <c r="P43" s="15">
        <f>_xlfn.XLOOKUP(Dane!F43,Produkty!$A$2:$A$15,Produkty!$D$2:$D$15)</f>
        <v>9</v>
      </c>
      <c r="Q43" s="15">
        <f t="shared" si="0"/>
        <v>0.36999999999999922</v>
      </c>
      <c r="R43" t="str">
        <f t="shared" si="1"/>
        <v>Bartosz Zajac</v>
      </c>
      <c r="S43" t="str">
        <f t="shared" si="2"/>
        <v>kawiarnia.pl</v>
      </c>
      <c r="T43" t="str">
        <f t="shared" si="3"/>
        <v>B.Z.</v>
      </c>
      <c r="U43" t="str">
        <f t="shared" si="4"/>
        <v>Poznań-K001</v>
      </c>
      <c r="V43" t="str">
        <f t="shared" si="7"/>
        <v>23-10-2024</v>
      </c>
      <c r="W43" t="str">
        <f t="shared" si="5"/>
        <v>nowe</v>
      </c>
      <c r="X43" s="22">
        <f t="shared" si="6"/>
        <v>4.1111111111111022E-2</v>
      </c>
    </row>
    <row r="44" spans="1:24" x14ac:dyDescent="0.25">
      <c r="A44" s="6" t="s">
        <v>152</v>
      </c>
      <c r="B44" s="7">
        <v>45376</v>
      </c>
      <c r="C44" s="6" t="s">
        <v>38</v>
      </c>
      <c r="D44" s="6" t="s">
        <v>32</v>
      </c>
      <c r="E44" s="6" t="s">
        <v>90</v>
      </c>
      <c r="F44" s="6" t="s">
        <v>153</v>
      </c>
      <c r="G44" s="6">
        <v>10</v>
      </c>
      <c r="H44" s="8">
        <v>16.45</v>
      </c>
      <c r="I44" s="8">
        <v>164.5</v>
      </c>
      <c r="J44" s="6" t="s">
        <v>154</v>
      </c>
      <c r="K44" s="6" t="s">
        <v>61</v>
      </c>
      <c r="L44" t="str" cm="1">
        <f t="array" ref="L44">_xlfn.IFS(G44&gt;6,"Duże zamówienie",G44&lt;=6,"Standardowe")</f>
        <v>Duże zamówienie</v>
      </c>
      <c r="M44" t="str" cm="1">
        <f t="array" ref="M44">_xlfn.IFS(AND(C44="Warszawa",G44&gt;5),"Wysoki",OR(C44="Warszawa",C44="Kraków"),"Średni",TRUE,"Niski")</f>
        <v>Niski</v>
      </c>
      <c r="N44" t="str">
        <f>_xlfn.XLOOKUP(F44,Produkty!$A$2:$A$15,Produkty!$B$2:$B$15,"Brak w katalogu")</f>
        <v>Smoothie owocowe</v>
      </c>
      <c r="O44" t="str">
        <f>_xlfn.XLOOKUP(N44,Produkty!$B$2:$B$15,Produkty!$C$2:$C$15,"Brak w katalogu")</f>
        <v>Napoje zimne</v>
      </c>
      <c r="P44" s="15">
        <f>_xlfn.XLOOKUP(Dane!F44,Produkty!$A$2:$A$15,Produkty!$D$2:$D$15)</f>
        <v>18</v>
      </c>
      <c r="Q44" s="15">
        <f t="shared" si="0"/>
        <v>1.5500000000000007</v>
      </c>
      <c r="R44" t="str">
        <f t="shared" si="1"/>
        <v>Natalia Krawczyk</v>
      </c>
      <c r="S44" t="str">
        <f t="shared" si="2"/>
        <v>kawiarnia.pl</v>
      </c>
      <c r="T44" t="str">
        <f t="shared" si="3"/>
        <v>N.K.</v>
      </c>
      <c r="U44" t="str">
        <f t="shared" si="4"/>
        <v>Gdańsk-K008</v>
      </c>
      <c r="V44" t="str">
        <f t="shared" si="7"/>
        <v>25-03-2024</v>
      </c>
      <c r="W44" t="str">
        <f t="shared" si="5"/>
        <v>w realizacji</v>
      </c>
      <c r="X44" s="22">
        <f t="shared" si="6"/>
        <v>8.6111111111111152E-2</v>
      </c>
    </row>
    <row r="45" spans="1:24" x14ac:dyDescent="0.25">
      <c r="A45" s="6" t="s">
        <v>155</v>
      </c>
      <c r="B45" s="7">
        <v>45411</v>
      </c>
      <c r="C45" s="6" t="s">
        <v>38</v>
      </c>
      <c r="D45" s="6" t="s">
        <v>53</v>
      </c>
      <c r="E45" s="6" t="s">
        <v>105</v>
      </c>
      <c r="F45" s="6" t="s">
        <v>67</v>
      </c>
      <c r="G45" s="6">
        <v>7</v>
      </c>
      <c r="H45" s="8">
        <v>12.89</v>
      </c>
      <c r="I45" s="8">
        <v>90.23</v>
      </c>
      <c r="J45" s="6" t="s">
        <v>156</v>
      </c>
      <c r="K45" s="6" t="s">
        <v>61</v>
      </c>
      <c r="L45" t="str" cm="1">
        <f t="array" ref="L45">_xlfn.IFS(G45&gt;6,"Duże zamówienie",G45&lt;=6,"Standardowe")</f>
        <v>Duże zamówienie</v>
      </c>
      <c r="M45" t="str" cm="1">
        <f t="array" ref="M45">_xlfn.IFS(AND(C45="Warszawa",G45&gt;5),"Wysoki",OR(C45="Warszawa",C45="Kraków"),"Średni",TRUE,"Niski")</f>
        <v>Niski</v>
      </c>
      <c r="N45" t="str">
        <f>_xlfn.XLOOKUP(F45,Produkty!$A$2:$A$15,Produkty!$B$2:$B$15,"Brak w katalogu")</f>
        <v>Cappuccino</v>
      </c>
      <c r="O45" t="str">
        <f>_xlfn.XLOOKUP(N45,Produkty!$B$2:$B$15,Produkty!$C$2:$C$15,"Brak w katalogu")</f>
        <v>Napoje gorące</v>
      </c>
      <c r="P45" s="15">
        <f>_xlfn.XLOOKUP(Dane!F45,Produkty!$A$2:$A$15,Produkty!$D$2:$D$15)</f>
        <v>13</v>
      </c>
      <c r="Q45" s="15">
        <f t="shared" si="0"/>
        <v>0.10999999999999943</v>
      </c>
      <c r="R45" t="str">
        <f t="shared" si="1"/>
        <v>Weronika Duda</v>
      </c>
      <c r="S45" t="str">
        <f t="shared" si="2"/>
        <v>kawiarnia.pl</v>
      </c>
      <c r="T45" t="str">
        <f t="shared" si="3"/>
        <v>W.D.</v>
      </c>
      <c r="U45" t="str">
        <f t="shared" si="4"/>
        <v>Gdańsk-K002</v>
      </c>
      <c r="V45" t="str">
        <f t="shared" si="7"/>
        <v>29-04-2024</v>
      </c>
      <c r="W45" t="str">
        <f t="shared" si="5"/>
        <v>w realizacji</v>
      </c>
      <c r="X45" s="22">
        <f t="shared" si="6"/>
        <v>8.4615384615384179E-3</v>
      </c>
    </row>
    <row r="46" spans="1:24" x14ac:dyDescent="0.25">
      <c r="A46" s="6" t="s">
        <v>157</v>
      </c>
      <c r="B46" s="7">
        <v>45535</v>
      </c>
      <c r="C46" s="6" t="s">
        <v>45</v>
      </c>
      <c r="D46" s="6" t="s">
        <v>46</v>
      </c>
      <c r="E46" s="6" t="s">
        <v>80</v>
      </c>
      <c r="F46" s="6" t="s">
        <v>96</v>
      </c>
      <c r="G46" s="6">
        <v>9</v>
      </c>
      <c r="H46" s="8">
        <v>9.01</v>
      </c>
      <c r="I46" s="8">
        <v>81.09</v>
      </c>
      <c r="J46" s="6" t="s">
        <v>154</v>
      </c>
      <c r="K46" s="6" t="s">
        <v>50</v>
      </c>
      <c r="L46" t="str" cm="1">
        <f t="array" ref="L46">_xlfn.IFS(G46&gt;6,"Duże zamówienie",G46&lt;=6,"Standardowe")</f>
        <v>Duże zamówienie</v>
      </c>
      <c r="M46" t="str" cm="1">
        <f t="array" ref="M46">_xlfn.IFS(AND(C46="Warszawa",G46&gt;5),"Wysoki",OR(C46="Warszawa",C46="Kraków"),"Średni",TRUE,"Niski")</f>
        <v>Średni</v>
      </c>
      <c r="N46" t="str">
        <f>_xlfn.XLOOKUP(F46,Produkty!$A$2:$A$15,Produkty!$B$2:$B$15,"Brak w katalogu")</f>
        <v>Muffin czekoladowy</v>
      </c>
      <c r="O46" t="str">
        <f>_xlfn.XLOOKUP(N46,Produkty!$B$2:$B$15,Produkty!$C$2:$C$15,"Brak w katalogu")</f>
        <v>Wypieki</v>
      </c>
      <c r="P46" s="15">
        <f>_xlfn.XLOOKUP(Dane!F46,Produkty!$A$2:$A$15,Produkty!$D$2:$D$15)</f>
        <v>9</v>
      </c>
      <c r="Q46" s="15">
        <f t="shared" si="0"/>
        <v>-9.9999999999997868E-3</v>
      </c>
      <c r="R46" t="str">
        <f t="shared" si="1"/>
        <v>Bartosz Zajac</v>
      </c>
      <c r="S46" t="str">
        <f t="shared" si="2"/>
        <v>kawiarnia.pl</v>
      </c>
      <c r="T46" t="str">
        <f t="shared" si="3"/>
        <v>B.Z.</v>
      </c>
      <c r="U46" t="str">
        <f t="shared" si="4"/>
        <v>Kraków-K011</v>
      </c>
      <c r="V46" t="str">
        <f t="shared" si="7"/>
        <v>31-08-2024</v>
      </c>
      <c r="W46" t="str">
        <f t="shared" si="5"/>
        <v>zakonczone</v>
      </c>
      <c r="X46" s="22">
        <f t="shared" si="6"/>
        <v>-1.1111111111110875E-3</v>
      </c>
    </row>
    <row r="47" spans="1:24" x14ac:dyDescent="0.25">
      <c r="A47" s="6" t="s">
        <v>158</v>
      </c>
      <c r="B47" s="7">
        <v>45331</v>
      </c>
      <c r="C47" s="6" t="s">
        <v>45</v>
      </c>
      <c r="D47" s="6" t="s">
        <v>32</v>
      </c>
      <c r="E47" s="6" t="s">
        <v>33</v>
      </c>
      <c r="F47" s="6" t="s">
        <v>113</v>
      </c>
      <c r="G47" s="6">
        <v>7</v>
      </c>
      <c r="H47" s="8">
        <v>16.309999999999999</v>
      </c>
      <c r="I47" s="8">
        <v>114.17</v>
      </c>
      <c r="J47" s="6" t="s">
        <v>106</v>
      </c>
      <c r="K47" s="6" t="s">
        <v>65</v>
      </c>
      <c r="L47" t="str" cm="1">
        <f t="array" ref="L47">_xlfn.IFS(G47&gt;6,"Duże zamówienie",G47&lt;=6,"Standardowe")</f>
        <v>Duże zamówienie</v>
      </c>
      <c r="M47" t="str" cm="1">
        <f t="array" ref="M47">_xlfn.IFS(AND(C47="Warszawa",G47&gt;5),"Wysoki",OR(C47="Warszawa",C47="Kraków"),"Średni",TRUE,"Niski")</f>
        <v>Średni</v>
      </c>
      <c r="N47" t="str">
        <f>_xlfn.XLOOKUP(F47,Produkty!$A$2:$A$15,Produkty!$B$2:$B$15,"Brak w katalogu")</f>
        <v>Bagietka z szynką</v>
      </c>
      <c r="O47" t="str">
        <f>_xlfn.XLOOKUP(N47,Produkty!$B$2:$B$15,Produkty!$C$2:$C$15,"Brak w katalogu")</f>
        <v>Przekąski</v>
      </c>
      <c r="P47" s="15">
        <f>_xlfn.XLOOKUP(Dane!F47,Produkty!$A$2:$A$15,Produkty!$D$2:$D$15)</f>
        <v>17</v>
      </c>
      <c r="Q47" s="15">
        <f t="shared" si="0"/>
        <v>0.69000000000000128</v>
      </c>
      <c r="R47" t="str">
        <f t="shared" si="1"/>
        <v>Natalia Krawczyk</v>
      </c>
      <c r="S47" t="str">
        <f t="shared" si="2"/>
        <v>kawiarnia.pl</v>
      </c>
      <c r="T47" t="str">
        <f t="shared" si="3"/>
        <v>N.K.</v>
      </c>
      <c r="U47" t="str">
        <f t="shared" si="4"/>
        <v>Kraków-K012</v>
      </c>
      <c r="V47" t="str">
        <f t="shared" si="7"/>
        <v>09-02-2024</v>
      </c>
      <c r="W47" t="str">
        <f t="shared" si="5"/>
        <v>nowe</v>
      </c>
      <c r="X47" s="22">
        <f t="shared" si="6"/>
        <v>4.0588235294117724E-2</v>
      </c>
    </row>
    <row r="48" spans="1:24" x14ac:dyDescent="0.25">
      <c r="A48" s="6" t="s">
        <v>159</v>
      </c>
      <c r="B48" s="7">
        <v>45415</v>
      </c>
      <c r="C48" s="6" t="s">
        <v>110</v>
      </c>
      <c r="D48" s="6" t="s">
        <v>111</v>
      </c>
      <c r="E48" s="6" t="s">
        <v>112</v>
      </c>
      <c r="F48" s="6" t="s">
        <v>34</v>
      </c>
      <c r="G48" s="6">
        <v>2</v>
      </c>
      <c r="H48" s="8">
        <v>11.21</v>
      </c>
      <c r="I48" s="8">
        <v>22.42</v>
      </c>
      <c r="J48" s="6" t="s">
        <v>160</v>
      </c>
      <c r="K48" s="6" t="s">
        <v>65</v>
      </c>
      <c r="L48" t="str" cm="1">
        <f t="array" ref="L48">_xlfn.IFS(G48&gt;6,"Duże zamówienie",G48&lt;=6,"Standardowe")</f>
        <v>Standardowe</v>
      </c>
      <c r="M48" t="str" cm="1">
        <f t="array" ref="M48">_xlfn.IFS(AND(C48="Warszawa",G48&gt;5),"Wysoki",OR(C48="Warszawa",C48="Kraków"),"Średni",TRUE,"Niski")</f>
        <v>Niski</v>
      </c>
      <c r="N48" t="str">
        <f>_xlfn.XLOOKUP(F48,Produkty!$A$2:$A$15,Produkty!$B$2:$B$15,"Brak w katalogu")</f>
        <v>Americano</v>
      </c>
      <c r="O48" t="str">
        <f>_xlfn.XLOOKUP(N48,Produkty!$B$2:$B$15,Produkty!$C$2:$C$15,"Brak w katalogu")</f>
        <v>Napoje gorące</v>
      </c>
      <c r="P48" s="15">
        <f>_xlfn.XLOOKUP(Dane!F48,Produkty!$A$2:$A$15,Produkty!$D$2:$D$15)</f>
        <v>11</v>
      </c>
      <c r="Q48" s="15">
        <f t="shared" si="0"/>
        <v>-0.21000000000000085</v>
      </c>
      <c r="R48" t="str">
        <f t="shared" si="1"/>
        <v>Julia Jankowska</v>
      </c>
      <c r="S48" t="str">
        <f t="shared" si="2"/>
        <v>kawiarnia.pl</v>
      </c>
      <c r="T48" t="str">
        <f t="shared" si="3"/>
        <v>J.J.</v>
      </c>
      <c r="U48" t="str">
        <f t="shared" si="4"/>
        <v>Wrocław-K004</v>
      </c>
      <c r="V48" t="str">
        <f t="shared" si="7"/>
        <v>03-05-2024</v>
      </c>
      <c r="W48" t="str">
        <f t="shared" si="5"/>
        <v>nowe</v>
      </c>
      <c r="X48" s="22">
        <f t="shared" si="6"/>
        <v>-1.9090909090909169E-2</v>
      </c>
    </row>
    <row r="49" spans="1:24" x14ac:dyDescent="0.25">
      <c r="A49" s="6" t="s">
        <v>161</v>
      </c>
      <c r="B49" s="7">
        <v>45515</v>
      </c>
      <c r="C49" s="6" t="s">
        <v>52</v>
      </c>
      <c r="D49" s="6" t="s">
        <v>111</v>
      </c>
      <c r="E49" s="6" t="s">
        <v>162</v>
      </c>
      <c r="F49" s="6" t="s">
        <v>96</v>
      </c>
      <c r="G49" s="6">
        <v>5</v>
      </c>
      <c r="H49" s="8">
        <v>8.35</v>
      </c>
      <c r="I49" s="8">
        <v>41.75</v>
      </c>
      <c r="J49" s="6" t="s">
        <v>163</v>
      </c>
      <c r="K49" s="6" t="s">
        <v>43</v>
      </c>
      <c r="L49" t="str" cm="1">
        <f t="array" ref="L49">_xlfn.IFS(G49&gt;6,"Duże zamówienie",G49&lt;=6,"Standardowe")</f>
        <v>Standardowe</v>
      </c>
      <c r="M49" t="str" cm="1">
        <f t="array" ref="M49">_xlfn.IFS(AND(C49="Warszawa",G49&gt;5),"Wysoki",OR(C49="Warszawa",C49="Kraków"),"Średni",TRUE,"Niski")</f>
        <v>Średni</v>
      </c>
      <c r="N49" t="str">
        <f>_xlfn.XLOOKUP(F49,Produkty!$A$2:$A$15,Produkty!$B$2:$B$15,"Brak w katalogu")</f>
        <v>Muffin czekoladowy</v>
      </c>
      <c r="O49" t="str">
        <f>_xlfn.XLOOKUP(N49,Produkty!$B$2:$B$15,Produkty!$C$2:$C$15,"Brak w katalogu")</f>
        <v>Wypieki</v>
      </c>
      <c r="P49" s="15">
        <f>_xlfn.XLOOKUP(Dane!F49,Produkty!$A$2:$A$15,Produkty!$D$2:$D$15)</f>
        <v>9</v>
      </c>
      <c r="Q49" s="15">
        <f t="shared" si="0"/>
        <v>0.65000000000000036</v>
      </c>
      <c r="R49" t="str">
        <f t="shared" si="1"/>
        <v>Julia Jankowska</v>
      </c>
      <c r="S49" t="str">
        <f t="shared" si="2"/>
        <v>kawiarnia.pl</v>
      </c>
      <c r="T49" t="str">
        <f t="shared" si="3"/>
        <v>J.J.</v>
      </c>
      <c r="U49" t="str">
        <f t="shared" si="4"/>
        <v>Warszawa-K011</v>
      </c>
      <c r="V49" t="str">
        <f t="shared" si="7"/>
        <v>11-08-2024</v>
      </c>
      <c r="W49" t="str">
        <f t="shared" si="5"/>
        <v>zakonczone</v>
      </c>
      <c r="X49" s="22">
        <f t="shared" si="6"/>
        <v>7.2222222222222257E-2</v>
      </c>
    </row>
    <row r="50" spans="1:24" x14ac:dyDescent="0.25">
      <c r="A50" s="6" t="s">
        <v>164</v>
      </c>
      <c r="B50" s="7">
        <v>45297</v>
      </c>
      <c r="C50" s="6" t="s">
        <v>38</v>
      </c>
      <c r="D50" s="6" t="s">
        <v>74</v>
      </c>
      <c r="E50" s="6" t="s">
        <v>108</v>
      </c>
      <c r="F50" s="6" t="s">
        <v>67</v>
      </c>
      <c r="G50" s="6">
        <v>3</v>
      </c>
      <c r="H50" s="8">
        <v>12.37</v>
      </c>
      <c r="I50" s="8">
        <v>37.11</v>
      </c>
      <c r="J50" s="6" t="s">
        <v>68</v>
      </c>
      <c r="K50" s="6" t="s">
        <v>36</v>
      </c>
      <c r="L50" t="str" cm="1">
        <f t="array" ref="L50">_xlfn.IFS(G50&gt;6,"Duże zamówienie",G50&lt;=6,"Standardowe")</f>
        <v>Standardowe</v>
      </c>
      <c r="M50" t="str" cm="1">
        <f t="array" ref="M50">_xlfn.IFS(AND(C50="Warszawa",G50&gt;5),"Wysoki",OR(C50="Warszawa",C50="Kraków"),"Średni",TRUE,"Niski")</f>
        <v>Niski</v>
      </c>
      <c r="N50" t="str">
        <f>_xlfn.XLOOKUP(F50,Produkty!$A$2:$A$15,Produkty!$B$2:$B$15,"Brak w katalogu")</f>
        <v>Cappuccino</v>
      </c>
      <c r="O50" t="str">
        <f>_xlfn.XLOOKUP(N50,Produkty!$B$2:$B$15,Produkty!$C$2:$C$15,"Brak w katalogu")</f>
        <v>Napoje gorące</v>
      </c>
      <c r="P50" s="15">
        <f>_xlfn.XLOOKUP(Dane!F50,Produkty!$A$2:$A$15,Produkty!$D$2:$D$15)</f>
        <v>13</v>
      </c>
      <c r="Q50" s="15">
        <f t="shared" si="0"/>
        <v>0.63000000000000078</v>
      </c>
      <c r="R50" t="str">
        <f t="shared" si="1"/>
        <v>Pawel Mazur</v>
      </c>
      <c r="S50" t="str">
        <f t="shared" si="2"/>
        <v>kawiarnia.pl</v>
      </c>
      <c r="T50" t="str">
        <f t="shared" si="3"/>
        <v>P.M.</v>
      </c>
      <c r="U50" t="str">
        <f t="shared" si="4"/>
        <v>Gdańsk-K002</v>
      </c>
      <c r="V50" t="str">
        <f t="shared" si="7"/>
        <v>06-01-2024</v>
      </c>
      <c r="W50" t="str">
        <f t="shared" si="5"/>
        <v>w realizacji</v>
      </c>
      <c r="X50" s="22">
        <f t="shared" si="6"/>
        <v>4.8461538461538521E-2</v>
      </c>
    </row>
    <row r="51" spans="1:24" x14ac:dyDescent="0.25">
      <c r="A51" s="6" t="s">
        <v>165</v>
      </c>
      <c r="B51" s="7">
        <v>45448</v>
      </c>
      <c r="C51" s="6" t="s">
        <v>38</v>
      </c>
      <c r="D51" s="6" t="s">
        <v>74</v>
      </c>
      <c r="E51" s="6" t="s">
        <v>108</v>
      </c>
      <c r="F51" s="6" t="s">
        <v>102</v>
      </c>
      <c r="G51" s="6">
        <v>6</v>
      </c>
      <c r="H51" s="8">
        <v>8.41</v>
      </c>
      <c r="I51" s="8">
        <v>50.46</v>
      </c>
      <c r="J51" s="6" t="s">
        <v>166</v>
      </c>
      <c r="K51" s="6" t="s">
        <v>65</v>
      </c>
      <c r="L51" t="str" cm="1">
        <f t="array" ref="L51">_xlfn.IFS(G51&gt;6,"Duże zamówienie",G51&lt;=6,"Standardowe")</f>
        <v>Standardowe</v>
      </c>
      <c r="M51" t="str" cm="1">
        <f t="array" ref="M51">_xlfn.IFS(AND(C51="Warszawa",G51&gt;5),"Wysoki",OR(C51="Warszawa",C51="Kraków"),"Średni",TRUE,"Niski")</f>
        <v>Niski</v>
      </c>
      <c r="N51" t="str">
        <f>_xlfn.XLOOKUP(F51,Produkty!$A$2:$A$15,Produkty!$B$2:$B$15,"Brak w katalogu")</f>
        <v>Espresso</v>
      </c>
      <c r="O51" t="str">
        <f>_xlfn.XLOOKUP(N51,Produkty!$B$2:$B$15,Produkty!$C$2:$C$15,"Brak w katalogu")</f>
        <v>Napoje gorące</v>
      </c>
      <c r="P51" s="15">
        <f>_xlfn.XLOOKUP(Dane!F51,Produkty!$A$2:$A$15,Produkty!$D$2:$D$15)</f>
        <v>9</v>
      </c>
      <c r="Q51" s="15">
        <f t="shared" si="0"/>
        <v>0.58999999999999986</v>
      </c>
      <c r="R51" t="str">
        <f t="shared" si="1"/>
        <v>Pawel Mazur</v>
      </c>
      <c r="S51" t="str">
        <f t="shared" si="2"/>
        <v>kawiarnia.pl</v>
      </c>
      <c r="T51" t="str">
        <f t="shared" si="3"/>
        <v>P.M.</v>
      </c>
      <c r="U51" t="str">
        <f t="shared" si="4"/>
        <v>Gdańsk-K001</v>
      </c>
      <c r="V51" t="str">
        <f t="shared" si="7"/>
        <v>05-06-2024</v>
      </c>
      <c r="W51" t="str">
        <f t="shared" si="5"/>
        <v>nowe</v>
      </c>
      <c r="X51" s="22">
        <f t="shared" si="6"/>
        <v>6.5555555555555534E-2</v>
      </c>
    </row>
    <row r="52" spans="1:24" x14ac:dyDescent="0.25">
      <c r="A52" s="6" t="s">
        <v>167</v>
      </c>
      <c r="B52" s="7">
        <v>45486</v>
      </c>
      <c r="C52" s="6" t="s">
        <v>52</v>
      </c>
      <c r="D52" s="6" t="s">
        <v>111</v>
      </c>
      <c r="E52" s="6" t="s">
        <v>121</v>
      </c>
      <c r="F52" s="6" t="s">
        <v>34</v>
      </c>
      <c r="G52" s="6">
        <v>9</v>
      </c>
      <c r="H52" s="8">
        <v>10.15</v>
      </c>
      <c r="I52" s="8">
        <v>91.35</v>
      </c>
      <c r="J52" s="6" t="s">
        <v>168</v>
      </c>
      <c r="K52" s="6" t="s">
        <v>65</v>
      </c>
      <c r="L52" t="str" cm="1">
        <f t="array" ref="L52">_xlfn.IFS(G52&gt;6,"Duże zamówienie",G52&lt;=6,"Standardowe")</f>
        <v>Duże zamówienie</v>
      </c>
      <c r="M52" t="str" cm="1">
        <f t="array" ref="M52">_xlfn.IFS(AND(C52="Warszawa",G52&gt;5),"Wysoki",OR(C52="Warszawa",C52="Kraków"),"Średni",TRUE,"Niski")</f>
        <v>Wysoki</v>
      </c>
      <c r="N52" t="str">
        <f>_xlfn.XLOOKUP(F52,Produkty!$A$2:$A$15,Produkty!$B$2:$B$15,"Brak w katalogu")</f>
        <v>Americano</v>
      </c>
      <c r="O52" t="str">
        <f>_xlfn.XLOOKUP(N52,Produkty!$B$2:$B$15,Produkty!$C$2:$C$15,"Brak w katalogu")</f>
        <v>Napoje gorące</v>
      </c>
      <c r="P52" s="15">
        <f>_xlfn.XLOOKUP(Dane!F52,Produkty!$A$2:$A$15,Produkty!$D$2:$D$15)</f>
        <v>11</v>
      </c>
      <c r="Q52" s="15">
        <f t="shared" si="0"/>
        <v>0.84999999999999964</v>
      </c>
      <c r="R52" t="str">
        <f t="shared" si="1"/>
        <v>Julia Jankowska</v>
      </c>
      <c r="S52" t="str">
        <f t="shared" si="2"/>
        <v>kawiarnia.pl</v>
      </c>
      <c r="T52" t="str">
        <f t="shared" si="3"/>
        <v>J.J.</v>
      </c>
      <c r="U52" t="str">
        <f t="shared" si="4"/>
        <v>Warszawa-K004</v>
      </c>
      <c r="V52" t="str">
        <f t="shared" si="7"/>
        <v>13-07-2024</v>
      </c>
      <c r="W52" t="str">
        <f t="shared" si="5"/>
        <v>nowe</v>
      </c>
      <c r="X52" s="22">
        <f t="shared" si="6"/>
        <v>7.7272727272727243E-2</v>
      </c>
    </row>
    <row r="53" spans="1:24" x14ac:dyDescent="0.25">
      <c r="A53" s="6" t="s">
        <v>169</v>
      </c>
      <c r="B53" s="7">
        <v>45306</v>
      </c>
      <c r="C53" s="6" t="s">
        <v>45</v>
      </c>
      <c r="D53" s="6" t="s">
        <v>32</v>
      </c>
      <c r="E53" s="6" t="s">
        <v>170</v>
      </c>
      <c r="F53" s="6" t="s">
        <v>55</v>
      </c>
      <c r="G53" s="6">
        <v>2</v>
      </c>
      <c r="H53" s="8">
        <v>9.9700000000000006</v>
      </c>
      <c r="I53" s="8">
        <v>19.940000000000001</v>
      </c>
      <c r="J53" s="6" t="s">
        <v>171</v>
      </c>
      <c r="K53" s="6" t="s">
        <v>65</v>
      </c>
      <c r="L53" t="str" cm="1">
        <f t="array" ref="L53">_xlfn.IFS(G53&gt;6,"Duże zamówienie",G53&lt;=6,"Standardowe")</f>
        <v>Standardowe</v>
      </c>
      <c r="M53" t="str" cm="1">
        <f t="array" ref="M53">_xlfn.IFS(AND(C53="Warszawa",G53&gt;5),"Wysoki",OR(C53="Warszawa",C53="Kraków"),"Średni",TRUE,"Niski")</f>
        <v>Średni</v>
      </c>
      <c r="N53" t="str">
        <f>_xlfn.XLOOKUP(F53,Produkty!$A$2:$A$15,Produkty!$B$2:$B$15,"Brak w katalogu")</f>
        <v>Herbata liściasta</v>
      </c>
      <c r="O53" t="str">
        <f>_xlfn.XLOOKUP(N53,Produkty!$B$2:$B$15,Produkty!$C$2:$C$15,"Brak w katalogu")</f>
        <v>Napoje gorące</v>
      </c>
      <c r="P53" s="15">
        <f>_xlfn.XLOOKUP(Dane!F53,Produkty!$A$2:$A$15,Produkty!$D$2:$D$15)</f>
        <v>10</v>
      </c>
      <c r="Q53" s="15">
        <f t="shared" si="0"/>
        <v>2.9999999999999361E-2</v>
      </c>
      <c r="R53" t="str">
        <f t="shared" si="1"/>
        <v>Natalia Krawczyk</v>
      </c>
      <c r="S53" t="str">
        <f t="shared" si="2"/>
        <v>kawiarnia.pl</v>
      </c>
      <c r="T53" t="str">
        <f t="shared" si="3"/>
        <v>N.K.</v>
      </c>
      <c r="U53" t="str">
        <f t="shared" si="4"/>
        <v>Kraków-K005</v>
      </c>
      <c r="V53" t="str">
        <f t="shared" si="7"/>
        <v>15-01-2024</v>
      </c>
      <c r="W53" t="str">
        <f t="shared" si="5"/>
        <v>nowe</v>
      </c>
      <c r="X53" s="22">
        <f t="shared" si="6"/>
        <v>2.9999999999999359E-3</v>
      </c>
    </row>
    <row r="54" spans="1:24" x14ac:dyDescent="0.25">
      <c r="A54" s="6" t="s">
        <v>172</v>
      </c>
      <c r="B54" s="7">
        <v>45628</v>
      </c>
      <c r="C54" s="6" t="s">
        <v>31</v>
      </c>
      <c r="D54" s="6" t="s">
        <v>39</v>
      </c>
      <c r="E54" s="6" t="s">
        <v>40</v>
      </c>
      <c r="F54" s="6" t="s">
        <v>113</v>
      </c>
      <c r="G54" s="6">
        <v>6</v>
      </c>
      <c r="H54" s="8">
        <v>16.57</v>
      </c>
      <c r="I54" s="8">
        <v>99.42</v>
      </c>
      <c r="J54" s="6" t="s">
        <v>106</v>
      </c>
      <c r="K54" s="6" t="s">
        <v>78</v>
      </c>
      <c r="L54" t="str" cm="1">
        <f t="array" ref="L54">_xlfn.IFS(G54&gt;6,"Duże zamówienie",G54&lt;=6,"Standardowe")</f>
        <v>Standardowe</v>
      </c>
      <c r="M54" t="str" cm="1">
        <f t="array" ref="M54">_xlfn.IFS(AND(C54="Warszawa",G54&gt;5),"Wysoki",OR(C54="Warszawa",C54="Kraków"),"Średni",TRUE,"Niski")</f>
        <v>Niski</v>
      </c>
      <c r="N54" t="str">
        <f>_xlfn.XLOOKUP(F54,Produkty!$A$2:$A$15,Produkty!$B$2:$B$15,"Brak w katalogu")</f>
        <v>Bagietka z szynką</v>
      </c>
      <c r="O54" t="str">
        <f>_xlfn.XLOOKUP(N54,Produkty!$B$2:$B$15,Produkty!$C$2:$C$15,"Brak w katalogu")</f>
        <v>Przekąski</v>
      </c>
      <c r="P54" s="15">
        <f>_xlfn.XLOOKUP(Dane!F54,Produkty!$A$2:$A$15,Produkty!$D$2:$D$15)</f>
        <v>17</v>
      </c>
      <c r="Q54" s="15">
        <f t="shared" si="0"/>
        <v>0.42999999999999972</v>
      </c>
      <c r="R54" t="str">
        <f t="shared" si="1"/>
        <v>Aleksandra Kowal</v>
      </c>
      <c r="S54" t="str">
        <f t="shared" si="2"/>
        <v>kawiarnia.pl</v>
      </c>
      <c r="T54" t="str">
        <f t="shared" si="3"/>
        <v>A.K.</v>
      </c>
      <c r="U54" t="str">
        <f t="shared" si="4"/>
        <v>Poznań-K012</v>
      </c>
      <c r="V54" t="str">
        <f t="shared" si="7"/>
        <v>02-12-2024</v>
      </c>
      <c r="W54" t="str">
        <f t="shared" si="5"/>
        <v>nowe</v>
      </c>
      <c r="X54" s="22">
        <f t="shared" si="6"/>
        <v>2.5294117647058807E-2</v>
      </c>
    </row>
    <row r="55" spans="1:24" x14ac:dyDescent="0.25">
      <c r="A55" s="6" t="s">
        <v>173</v>
      </c>
      <c r="B55" s="7">
        <v>45578</v>
      </c>
      <c r="C55" s="6" t="s">
        <v>110</v>
      </c>
      <c r="D55" s="6" t="s">
        <v>111</v>
      </c>
      <c r="E55" s="6" t="s">
        <v>112</v>
      </c>
      <c r="F55" s="6" t="s">
        <v>67</v>
      </c>
      <c r="G55" s="6">
        <v>5</v>
      </c>
      <c r="H55" s="8">
        <v>12.74</v>
      </c>
      <c r="I55" s="8">
        <v>63.7</v>
      </c>
      <c r="J55" s="6" t="s">
        <v>174</v>
      </c>
      <c r="K55" s="6" t="s">
        <v>65</v>
      </c>
      <c r="L55" t="str" cm="1">
        <f t="array" ref="L55">_xlfn.IFS(G55&gt;6,"Duże zamówienie",G55&lt;=6,"Standardowe")</f>
        <v>Standardowe</v>
      </c>
      <c r="M55" t="str" cm="1">
        <f t="array" ref="M55">_xlfn.IFS(AND(C55="Warszawa",G55&gt;5),"Wysoki",OR(C55="Warszawa",C55="Kraków"),"Średni",TRUE,"Niski")</f>
        <v>Niski</v>
      </c>
      <c r="N55" t="str">
        <f>_xlfn.XLOOKUP(F55,Produkty!$A$2:$A$15,Produkty!$B$2:$B$15,"Brak w katalogu")</f>
        <v>Cappuccino</v>
      </c>
      <c r="O55" t="str">
        <f>_xlfn.XLOOKUP(N55,Produkty!$B$2:$B$15,Produkty!$C$2:$C$15,"Brak w katalogu")</f>
        <v>Napoje gorące</v>
      </c>
      <c r="P55" s="15">
        <f>_xlfn.XLOOKUP(Dane!F55,Produkty!$A$2:$A$15,Produkty!$D$2:$D$15)</f>
        <v>13</v>
      </c>
      <c r="Q55" s="15">
        <f t="shared" si="0"/>
        <v>0.25999999999999979</v>
      </c>
      <c r="R55" t="str">
        <f t="shared" si="1"/>
        <v>Julia Jankowska</v>
      </c>
      <c r="S55" t="str">
        <f t="shared" si="2"/>
        <v>kawiarnia.pl</v>
      </c>
      <c r="T55" t="str">
        <f t="shared" si="3"/>
        <v>J.J.</v>
      </c>
      <c r="U55" t="str">
        <f t="shared" si="4"/>
        <v>Wrocław-K002</v>
      </c>
      <c r="V55" t="str">
        <f t="shared" si="7"/>
        <v>13-10-2024</v>
      </c>
      <c r="W55" t="str">
        <f t="shared" si="5"/>
        <v>nowe</v>
      </c>
      <c r="X55" s="22">
        <f t="shared" si="6"/>
        <v>1.9999999999999983E-2</v>
      </c>
    </row>
    <row r="56" spans="1:24" x14ac:dyDescent="0.25">
      <c r="A56" s="6" t="s">
        <v>175</v>
      </c>
      <c r="B56" s="7">
        <v>45404</v>
      </c>
      <c r="C56" s="6" t="s">
        <v>110</v>
      </c>
      <c r="D56" s="6" t="s">
        <v>111</v>
      </c>
      <c r="E56" s="6" t="s">
        <v>112</v>
      </c>
      <c r="F56" s="6" t="s">
        <v>55</v>
      </c>
      <c r="G56" s="6">
        <v>10</v>
      </c>
      <c r="H56" s="8">
        <v>9.94</v>
      </c>
      <c r="I56" s="8">
        <v>99.4</v>
      </c>
      <c r="J56" s="6" t="s">
        <v>42</v>
      </c>
      <c r="K56" s="6" t="s">
        <v>78</v>
      </c>
      <c r="L56" t="str" cm="1">
        <f t="array" ref="L56">_xlfn.IFS(G56&gt;6,"Duże zamówienie",G56&lt;=6,"Standardowe")</f>
        <v>Duże zamówienie</v>
      </c>
      <c r="M56" t="str" cm="1">
        <f t="array" ref="M56">_xlfn.IFS(AND(C56="Warszawa",G56&gt;5),"Wysoki",OR(C56="Warszawa",C56="Kraków"),"Średni",TRUE,"Niski")</f>
        <v>Niski</v>
      </c>
      <c r="N56" t="str">
        <f>_xlfn.XLOOKUP(F56,Produkty!$A$2:$A$15,Produkty!$B$2:$B$15,"Brak w katalogu")</f>
        <v>Herbata liściasta</v>
      </c>
      <c r="O56" t="str">
        <f>_xlfn.XLOOKUP(N56,Produkty!$B$2:$B$15,Produkty!$C$2:$C$15,"Brak w katalogu")</f>
        <v>Napoje gorące</v>
      </c>
      <c r="P56" s="15">
        <f>_xlfn.XLOOKUP(Dane!F56,Produkty!$A$2:$A$15,Produkty!$D$2:$D$15)</f>
        <v>10</v>
      </c>
      <c r="Q56" s="15">
        <f t="shared" si="0"/>
        <v>6.0000000000000497E-2</v>
      </c>
      <c r="R56" t="str">
        <f t="shared" si="1"/>
        <v>Julia Jankowska</v>
      </c>
      <c r="S56" t="str">
        <f t="shared" si="2"/>
        <v>kawiarnia.pl</v>
      </c>
      <c r="T56" t="str">
        <f t="shared" si="3"/>
        <v>J.J.</v>
      </c>
      <c r="U56" t="str">
        <f t="shared" si="4"/>
        <v>Wrocław-K005</v>
      </c>
      <c r="V56" t="str">
        <f t="shared" si="7"/>
        <v>22-04-2024</v>
      </c>
      <c r="W56" t="str">
        <f t="shared" si="5"/>
        <v>nowe</v>
      </c>
      <c r="X56" s="22">
        <f t="shared" si="6"/>
        <v>6.0000000000000496E-3</v>
      </c>
    </row>
    <row r="57" spans="1:24" x14ac:dyDescent="0.25">
      <c r="A57" s="6" t="s">
        <v>176</v>
      </c>
      <c r="B57" s="7">
        <v>45632</v>
      </c>
      <c r="C57" s="6" t="s">
        <v>31</v>
      </c>
      <c r="D57" s="6" t="s">
        <v>148</v>
      </c>
      <c r="E57" s="6" t="s">
        <v>177</v>
      </c>
      <c r="F57" s="6" t="s">
        <v>67</v>
      </c>
      <c r="G57" s="6">
        <v>7</v>
      </c>
      <c r="H57" s="8">
        <v>11.94</v>
      </c>
      <c r="I57" s="8">
        <v>83.58</v>
      </c>
      <c r="J57" s="6" t="s">
        <v>178</v>
      </c>
      <c r="K57" s="6" t="s">
        <v>43</v>
      </c>
      <c r="L57" t="str" cm="1">
        <f t="array" ref="L57">_xlfn.IFS(G57&gt;6,"Duże zamówienie",G57&lt;=6,"Standardowe")</f>
        <v>Duże zamówienie</v>
      </c>
      <c r="M57" t="str" cm="1">
        <f t="array" ref="M57">_xlfn.IFS(AND(C57="Warszawa",G57&gt;5),"Wysoki",OR(C57="Warszawa",C57="Kraków"),"Średni",TRUE,"Niski")</f>
        <v>Niski</v>
      </c>
      <c r="N57" t="str">
        <f>_xlfn.XLOOKUP(F57,Produkty!$A$2:$A$15,Produkty!$B$2:$B$15,"Brak w katalogu")</f>
        <v>Cappuccino</v>
      </c>
      <c r="O57" t="str">
        <f>_xlfn.XLOOKUP(N57,Produkty!$B$2:$B$15,Produkty!$C$2:$C$15,"Brak w katalogu")</f>
        <v>Napoje gorące</v>
      </c>
      <c r="P57" s="15">
        <f>_xlfn.XLOOKUP(Dane!F57,Produkty!$A$2:$A$15,Produkty!$D$2:$D$15)</f>
        <v>13</v>
      </c>
      <c r="Q57" s="15">
        <f t="shared" si="0"/>
        <v>1.0600000000000005</v>
      </c>
      <c r="R57" t="str">
        <f t="shared" si="1"/>
        <v>Michal Nowicki</v>
      </c>
      <c r="S57" t="str">
        <f t="shared" si="2"/>
        <v>kawiarnia.pl</v>
      </c>
      <c r="T57" t="str">
        <f t="shared" si="3"/>
        <v>M.N.</v>
      </c>
      <c r="U57" t="str">
        <f t="shared" si="4"/>
        <v>Poznań-K002</v>
      </c>
      <c r="V57" t="str">
        <f t="shared" si="7"/>
        <v>06-12-2024</v>
      </c>
      <c r="W57" t="str">
        <f t="shared" si="5"/>
        <v>zakonczone</v>
      </c>
      <c r="X57" s="22">
        <f t="shared" si="6"/>
        <v>8.1538461538461574E-2</v>
      </c>
    </row>
    <row r="58" spans="1:24" x14ac:dyDescent="0.25">
      <c r="A58" s="6" t="s">
        <v>179</v>
      </c>
      <c r="B58" s="7">
        <v>45545</v>
      </c>
      <c r="C58" s="6" t="s">
        <v>31</v>
      </c>
      <c r="D58" s="6" t="s">
        <v>70</v>
      </c>
      <c r="E58" s="6" t="s">
        <v>71</v>
      </c>
      <c r="F58" s="6" t="s">
        <v>34</v>
      </c>
      <c r="G58" s="6">
        <v>10</v>
      </c>
      <c r="H58" s="8">
        <v>11.04</v>
      </c>
      <c r="I58" s="8">
        <v>110.4</v>
      </c>
      <c r="J58" s="6" t="s">
        <v>91</v>
      </c>
      <c r="K58" s="6" t="s">
        <v>43</v>
      </c>
      <c r="L58" t="str" cm="1">
        <f t="array" ref="L58">_xlfn.IFS(G58&gt;6,"Duże zamówienie",G58&lt;=6,"Standardowe")</f>
        <v>Duże zamówienie</v>
      </c>
      <c r="M58" t="str" cm="1">
        <f t="array" ref="M58">_xlfn.IFS(AND(C58="Warszawa",G58&gt;5),"Wysoki",OR(C58="Warszawa",C58="Kraków"),"Średni",TRUE,"Niski")</f>
        <v>Niski</v>
      </c>
      <c r="N58" t="str">
        <f>_xlfn.XLOOKUP(F58,Produkty!$A$2:$A$15,Produkty!$B$2:$B$15,"Brak w katalogu")</f>
        <v>Americano</v>
      </c>
      <c r="O58" t="str">
        <f>_xlfn.XLOOKUP(N58,Produkty!$B$2:$B$15,Produkty!$C$2:$C$15,"Brak w katalogu")</f>
        <v>Napoje gorące</v>
      </c>
      <c r="P58" s="15">
        <f>_xlfn.XLOOKUP(Dane!F58,Produkty!$A$2:$A$15,Produkty!$D$2:$D$15)</f>
        <v>11</v>
      </c>
      <c r="Q58" s="15">
        <f t="shared" si="0"/>
        <v>-3.9999999999999147E-2</v>
      </c>
      <c r="R58" t="str">
        <f t="shared" si="1"/>
        <v>Kamil Wozniak</v>
      </c>
      <c r="S58" t="str">
        <f t="shared" si="2"/>
        <v>kawiarnia.pl</v>
      </c>
      <c r="T58" t="str">
        <f t="shared" si="3"/>
        <v>K.W.</v>
      </c>
      <c r="U58" t="str">
        <f t="shared" si="4"/>
        <v>Poznań-K004</v>
      </c>
      <c r="V58" t="str">
        <f t="shared" si="7"/>
        <v>10-09-2024</v>
      </c>
      <c r="W58" t="str">
        <f t="shared" si="5"/>
        <v>zakonczone</v>
      </c>
      <c r="X58" s="22">
        <f t="shared" si="6"/>
        <v>-3.6363636363635587E-3</v>
      </c>
    </row>
    <row r="59" spans="1:24" x14ac:dyDescent="0.25">
      <c r="A59" s="6" t="s">
        <v>180</v>
      </c>
      <c r="B59" s="7">
        <v>45495</v>
      </c>
      <c r="C59" s="6" t="s">
        <v>45</v>
      </c>
      <c r="D59" s="6" t="s">
        <v>39</v>
      </c>
      <c r="E59" s="6" t="s">
        <v>40</v>
      </c>
      <c r="F59" s="6" t="s">
        <v>153</v>
      </c>
      <c r="G59" s="6">
        <v>12</v>
      </c>
      <c r="H59" s="8">
        <v>17.52</v>
      </c>
      <c r="I59" s="8">
        <v>210.24</v>
      </c>
      <c r="J59" s="6" t="s">
        <v>181</v>
      </c>
      <c r="K59" s="6" t="s">
        <v>65</v>
      </c>
      <c r="L59" t="str" cm="1">
        <f t="array" ref="L59">_xlfn.IFS(G59&gt;6,"Duże zamówienie",G59&lt;=6,"Standardowe")</f>
        <v>Duże zamówienie</v>
      </c>
      <c r="M59" t="str" cm="1">
        <f t="array" ref="M59">_xlfn.IFS(AND(C59="Warszawa",G59&gt;5),"Wysoki",OR(C59="Warszawa",C59="Kraków"),"Średni",TRUE,"Niski")</f>
        <v>Średni</v>
      </c>
      <c r="N59" t="str">
        <f>_xlfn.XLOOKUP(F59,Produkty!$A$2:$A$15,Produkty!$B$2:$B$15,"Brak w katalogu")</f>
        <v>Smoothie owocowe</v>
      </c>
      <c r="O59" t="str">
        <f>_xlfn.XLOOKUP(N59,Produkty!$B$2:$B$15,Produkty!$C$2:$C$15,"Brak w katalogu")</f>
        <v>Napoje zimne</v>
      </c>
      <c r="P59" s="15">
        <f>_xlfn.XLOOKUP(Dane!F59,Produkty!$A$2:$A$15,Produkty!$D$2:$D$15)</f>
        <v>18</v>
      </c>
      <c r="Q59" s="15">
        <f t="shared" si="0"/>
        <v>0.48000000000000043</v>
      </c>
      <c r="R59" t="str">
        <f t="shared" si="1"/>
        <v>Aleksandra Kowal</v>
      </c>
      <c r="S59" t="str">
        <f t="shared" si="2"/>
        <v>kawiarnia.pl</v>
      </c>
      <c r="T59" t="str">
        <f t="shared" si="3"/>
        <v>A.K.</v>
      </c>
      <c r="U59" t="str">
        <f t="shared" si="4"/>
        <v>Kraków-K008</v>
      </c>
      <c r="V59" t="str">
        <f t="shared" si="7"/>
        <v>22-07-2024</v>
      </c>
      <c r="W59" t="str">
        <f t="shared" si="5"/>
        <v>nowe</v>
      </c>
      <c r="X59" s="22">
        <f t="shared" si="6"/>
        <v>2.6666666666666689E-2</v>
      </c>
    </row>
    <row r="60" spans="1:24" x14ac:dyDescent="0.25">
      <c r="A60" s="6" t="s">
        <v>182</v>
      </c>
      <c r="B60" s="7">
        <v>45648</v>
      </c>
      <c r="C60" s="6" t="s">
        <v>52</v>
      </c>
      <c r="D60" s="6" t="s">
        <v>148</v>
      </c>
      <c r="E60" s="6" t="s">
        <v>177</v>
      </c>
      <c r="F60" s="6" t="s">
        <v>63</v>
      </c>
      <c r="G60" s="6">
        <v>7</v>
      </c>
      <c r="H60" s="8">
        <v>13</v>
      </c>
      <c r="I60" s="8">
        <v>91</v>
      </c>
      <c r="J60" s="6" t="s">
        <v>183</v>
      </c>
      <c r="K60" s="6" t="s">
        <v>36</v>
      </c>
      <c r="L60" t="str" cm="1">
        <f t="array" ref="L60">_xlfn.IFS(G60&gt;6,"Duże zamówienie",G60&lt;=6,"Standardowe")</f>
        <v>Duże zamówienie</v>
      </c>
      <c r="M60" t="str" cm="1">
        <f t="array" ref="M60">_xlfn.IFS(AND(C60="Warszawa",G60&gt;5),"Wysoki",OR(C60="Warszawa",C60="Kraków"),"Średni",TRUE,"Niski")</f>
        <v>Wysoki</v>
      </c>
      <c r="N60" t="str">
        <f>_xlfn.XLOOKUP(F60,Produkty!$A$2:$A$15,Produkty!$B$2:$B$15,"Brak w katalogu")</f>
        <v>Latte</v>
      </c>
      <c r="O60" t="str">
        <f>_xlfn.XLOOKUP(N60,Produkty!$B$2:$B$15,Produkty!$C$2:$C$15,"Brak w katalogu")</f>
        <v>Napoje gorące</v>
      </c>
      <c r="P60" s="15">
        <f>_xlfn.XLOOKUP(Dane!F60,Produkty!$A$2:$A$15,Produkty!$D$2:$D$15)</f>
        <v>14</v>
      </c>
      <c r="Q60" s="15">
        <f t="shared" si="0"/>
        <v>1</v>
      </c>
      <c r="R60" t="str">
        <f t="shared" si="1"/>
        <v>Michal Nowicki</v>
      </c>
      <c r="S60" t="str">
        <f t="shared" si="2"/>
        <v>kawiarnia.pl</v>
      </c>
      <c r="T60" t="str">
        <f t="shared" si="3"/>
        <v>M.N.</v>
      </c>
      <c r="U60" t="str">
        <f t="shared" si="4"/>
        <v>Warszawa-K003</v>
      </c>
      <c r="V60" t="str">
        <f t="shared" si="7"/>
        <v>22-12-2024</v>
      </c>
      <c r="W60" t="str">
        <f t="shared" si="5"/>
        <v>w realizacji</v>
      </c>
      <c r="X60" s="22">
        <f t="shared" si="6"/>
        <v>7.1428571428571425E-2</v>
      </c>
    </row>
    <row r="61" spans="1:24" x14ac:dyDescent="0.25">
      <c r="A61" s="6" t="s">
        <v>184</v>
      </c>
      <c r="B61" s="7">
        <v>45592</v>
      </c>
      <c r="C61" s="6" t="s">
        <v>38</v>
      </c>
      <c r="D61" s="6" t="s">
        <v>148</v>
      </c>
      <c r="E61" s="6" t="s">
        <v>149</v>
      </c>
      <c r="F61" s="6" t="s">
        <v>84</v>
      </c>
      <c r="G61" s="6">
        <v>4</v>
      </c>
      <c r="H61" s="8">
        <v>14.89</v>
      </c>
      <c r="I61" s="8">
        <v>59.56</v>
      </c>
      <c r="J61" s="6" t="s">
        <v>185</v>
      </c>
      <c r="K61" s="6" t="s">
        <v>65</v>
      </c>
      <c r="L61" t="str" cm="1">
        <f t="array" ref="L61">_xlfn.IFS(G61&gt;6,"Duże zamówienie",G61&lt;=6,"Standardowe")</f>
        <v>Standardowe</v>
      </c>
      <c r="M61" t="str" cm="1">
        <f t="array" ref="M61">_xlfn.IFS(AND(C61="Warszawa",G61&gt;5),"Wysoki",OR(C61="Warszawa",C61="Kraków"),"Średni",TRUE,"Niski")</f>
        <v>Niski</v>
      </c>
      <c r="N61" t="str">
        <f>_xlfn.XLOOKUP(F61,Produkty!$A$2:$A$15,Produkty!$B$2:$B$15,"Brak w katalogu")</f>
        <v>Mrożona kawa</v>
      </c>
      <c r="O61" t="str">
        <f>_xlfn.XLOOKUP(N61,Produkty!$B$2:$B$15,Produkty!$C$2:$C$15,"Brak w katalogu")</f>
        <v>Napoje zimne</v>
      </c>
      <c r="P61" s="15">
        <f>_xlfn.XLOOKUP(Dane!F61,Produkty!$A$2:$A$15,Produkty!$D$2:$D$15)</f>
        <v>16</v>
      </c>
      <c r="Q61" s="15">
        <f t="shared" si="0"/>
        <v>1.1099999999999994</v>
      </c>
      <c r="R61" t="str">
        <f t="shared" si="1"/>
        <v>Michal Nowicki</v>
      </c>
      <c r="S61" t="str">
        <f t="shared" si="2"/>
        <v>kawiarnia.pl</v>
      </c>
      <c r="T61" t="str">
        <f t="shared" si="3"/>
        <v>M.N.</v>
      </c>
      <c r="U61" t="str">
        <f t="shared" si="4"/>
        <v>Gdańsk-K006</v>
      </c>
      <c r="V61" t="str">
        <f t="shared" si="7"/>
        <v>27-10-2024</v>
      </c>
      <c r="W61" t="str">
        <f t="shared" si="5"/>
        <v>nowe</v>
      </c>
      <c r="X61" s="22">
        <f t="shared" si="6"/>
        <v>6.9374999999999964E-2</v>
      </c>
    </row>
    <row r="62" spans="1:24" x14ac:dyDescent="0.25">
      <c r="A62" s="6" t="s">
        <v>186</v>
      </c>
      <c r="B62" s="7">
        <v>45298</v>
      </c>
      <c r="C62" s="6" t="s">
        <v>31</v>
      </c>
      <c r="D62" s="6" t="s">
        <v>74</v>
      </c>
      <c r="E62" s="6" t="s">
        <v>108</v>
      </c>
      <c r="F62" s="6" t="s">
        <v>48</v>
      </c>
      <c r="G62" s="6">
        <v>12</v>
      </c>
      <c r="H62" s="8">
        <v>5.66</v>
      </c>
      <c r="I62" s="8">
        <v>67.92</v>
      </c>
      <c r="J62" s="6" t="s">
        <v>156</v>
      </c>
      <c r="K62" s="6" t="s">
        <v>36</v>
      </c>
      <c r="L62" t="str" cm="1">
        <f t="array" ref="L62">_xlfn.IFS(G62&gt;6,"Duże zamówienie",G62&lt;=6,"Standardowe")</f>
        <v>Duże zamówienie</v>
      </c>
      <c r="M62" t="str" cm="1">
        <f t="array" ref="M62">_xlfn.IFS(AND(C62="Warszawa",G62&gt;5),"Wysoki",OR(C62="Warszawa",C62="Kraków"),"Średni",TRUE,"Niski")</f>
        <v>Niski</v>
      </c>
      <c r="N62" t="str">
        <f>_xlfn.XLOOKUP(F62,Produkty!$A$2:$A$15,Produkty!$B$2:$B$15,"Brak w katalogu")</f>
        <v>Batonik musli</v>
      </c>
      <c r="O62" t="str">
        <f>_xlfn.XLOOKUP(N62,Produkty!$B$2:$B$15,Produkty!$C$2:$C$15,"Brak w katalogu")</f>
        <v>Przekąski</v>
      </c>
      <c r="P62" s="15">
        <f>_xlfn.XLOOKUP(Dane!F62,Produkty!$A$2:$A$15,Produkty!$D$2:$D$15)</f>
        <v>6</v>
      </c>
      <c r="Q62" s="15">
        <f t="shared" si="0"/>
        <v>0.33999999999999986</v>
      </c>
      <c r="R62" t="str">
        <f t="shared" si="1"/>
        <v>Pawel Mazur</v>
      </c>
      <c r="S62" t="str">
        <f t="shared" si="2"/>
        <v>kawiarnia.pl</v>
      </c>
      <c r="T62" t="str">
        <f t="shared" si="3"/>
        <v>P.M.</v>
      </c>
      <c r="U62" t="str">
        <f t="shared" si="4"/>
        <v>Poznań-K014</v>
      </c>
      <c r="V62" t="str">
        <f t="shared" si="7"/>
        <v>07-01-2024</v>
      </c>
      <c r="W62" t="str">
        <f t="shared" si="5"/>
        <v>w realizacji</v>
      </c>
      <c r="X62" s="22">
        <f t="shared" si="6"/>
        <v>5.6666666666666643E-2</v>
      </c>
    </row>
    <row r="63" spans="1:24" x14ac:dyDescent="0.25">
      <c r="A63" s="6" t="s">
        <v>187</v>
      </c>
      <c r="B63" s="7">
        <v>45504</v>
      </c>
      <c r="C63" s="6" t="s">
        <v>52</v>
      </c>
      <c r="D63" s="6" t="s">
        <v>74</v>
      </c>
      <c r="E63" s="6" t="s">
        <v>108</v>
      </c>
      <c r="F63" s="6" t="s">
        <v>41</v>
      </c>
      <c r="G63" s="6">
        <v>11</v>
      </c>
      <c r="H63" s="8">
        <v>10.97</v>
      </c>
      <c r="I63" s="8">
        <v>120.67</v>
      </c>
      <c r="J63" s="6" t="s">
        <v>142</v>
      </c>
      <c r="K63" s="6" t="s">
        <v>50</v>
      </c>
      <c r="L63" t="str" cm="1">
        <f t="array" ref="L63">_xlfn.IFS(G63&gt;6,"Duże zamówienie",G63&lt;=6,"Standardowe")</f>
        <v>Duże zamówienie</v>
      </c>
      <c r="M63" t="str" cm="1">
        <f t="array" ref="M63">_xlfn.IFS(AND(C63="Warszawa",G63&gt;5),"Wysoki",OR(C63="Warszawa",C63="Kraków"),"Średni",TRUE,"Niski")</f>
        <v>Wysoki</v>
      </c>
      <c r="N63" t="str">
        <f>_xlfn.XLOOKUP(F63,Produkty!$A$2:$A$15,Produkty!$B$2:$B$15,"Brak w katalogu")</f>
        <v>Lemoniada</v>
      </c>
      <c r="O63" t="str">
        <f>_xlfn.XLOOKUP(N63,Produkty!$B$2:$B$15,Produkty!$C$2:$C$15,"Brak w katalogu")</f>
        <v>Napoje zimne</v>
      </c>
      <c r="P63" s="15">
        <f>_xlfn.XLOOKUP(Dane!F63,Produkty!$A$2:$A$15,Produkty!$D$2:$D$15)</f>
        <v>12</v>
      </c>
      <c r="Q63" s="15">
        <f t="shared" si="0"/>
        <v>1.0299999999999994</v>
      </c>
      <c r="R63" t="str">
        <f t="shared" si="1"/>
        <v>Pawel Mazur</v>
      </c>
      <c r="S63" t="str">
        <f t="shared" si="2"/>
        <v>kawiarnia.pl</v>
      </c>
      <c r="T63" t="str">
        <f t="shared" si="3"/>
        <v>P.M.</v>
      </c>
      <c r="U63" t="str">
        <f t="shared" si="4"/>
        <v>Warszawa-K007</v>
      </c>
      <c r="V63" t="str">
        <f t="shared" si="7"/>
        <v>31-07-2024</v>
      </c>
      <c r="W63" t="str">
        <f t="shared" si="5"/>
        <v>zakonczone</v>
      </c>
      <c r="X63" s="22">
        <f t="shared" si="6"/>
        <v>8.5833333333333275E-2</v>
      </c>
    </row>
    <row r="64" spans="1:24" x14ac:dyDescent="0.25">
      <c r="A64" s="6" t="s">
        <v>188</v>
      </c>
      <c r="B64" s="7">
        <v>45447</v>
      </c>
      <c r="C64" s="6" t="s">
        <v>110</v>
      </c>
      <c r="D64" s="6" t="s">
        <v>46</v>
      </c>
      <c r="E64" s="6" t="s">
        <v>47</v>
      </c>
      <c r="F64" s="6" t="s">
        <v>102</v>
      </c>
      <c r="G64" s="6">
        <v>12</v>
      </c>
      <c r="H64" s="8">
        <v>8.92</v>
      </c>
      <c r="I64" s="8">
        <v>107.04</v>
      </c>
      <c r="J64" s="6" t="s">
        <v>174</v>
      </c>
      <c r="K64" s="6" t="s">
        <v>43</v>
      </c>
      <c r="L64" t="str" cm="1">
        <f t="array" ref="L64">_xlfn.IFS(G64&gt;6,"Duże zamówienie",G64&lt;=6,"Standardowe")</f>
        <v>Duże zamówienie</v>
      </c>
      <c r="M64" t="str" cm="1">
        <f t="array" ref="M64">_xlfn.IFS(AND(C64="Warszawa",G64&gt;5),"Wysoki",OR(C64="Warszawa",C64="Kraków"),"Średni",TRUE,"Niski")</f>
        <v>Niski</v>
      </c>
      <c r="N64" t="str">
        <f>_xlfn.XLOOKUP(F64,Produkty!$A$2:$A$15,Produkty!$B$2:$B$15,"Brak w katalogu")</f>
        <v>Espresso</v>
      </c>
      <c r="O64" t="str">
        <f>_xlfn.XLOOKUP(N64,Produkty!$B$2:$B$15,Produkty!$C$2:$C$15,"Brak w katalogu")</f>
        <v>Napoje gorące</v>
      </c>
      <c r="P64" s="15">
        <f>_xlfn.XLOOKUP(Dane!F64,Produkty!$A$2:$A$15,Produkty!$D$2:$D$15)</f>
        <v>9</v>
      </c>
      <c r="Q64" s="15">
        <f t="shared" si="0"/>
        <v>8.0000000000000071E-2</v>
      </c>
      <c r="R64" t="str">
        <f t="shared" si="1"/>
        <v>Bartosz Zajac</v>
      </c>
      <c r="S64" t="str">
        <f t="shared" si="2"/>
        <v>kawiarnia.pl</v>
      </c>
      <c r="T64" t="str">
        <f t="shared" si="3"/>
        <v>B.Z.</v>
      </c>
      <c r="U64" t="str">
        <f t="shared" si="4"/>
        <v>Wrocław-K001</v>
      </c>
      <c r="V64" t="str">
        <f t="shared" si="7"/>
        <v>04-06-2024</v>
      </c>
      <c r="W64" t="str">
        <f t="shared" si="5"/>
        <v>zakonczone</v>
      </c>
      <c r="X64" s="22">
        <f t="shared" si="6"/>
        <v>8.8888888888888976E-3</v>
      </c>
    </row>
    <row r="65" spans="1:24" x14ac:dyDescent="0.25">
      <c r="A65" s="6" t="s">
        <v>189</v>
      </c>
      <c r="B65" s="7">
        <v>45534</v>
      </c>
      <c r="C65" s="6" t="s">
        <v>31</v>
      </c>
      <c r="D65" s="6" t="s">
        <v>46</v>
      </c>
      <c r="E65" s="6" t="s">
        <v>47</v>
      </c>
      <c r="F65" s="6" t="s">
        <v>34</v>
      </c>
      <c r="G65" s="6">
        <v>9</v>
      </c>
      <c r="H65" s="8">
        <v>10.41</v>
      </c>
      <c r="I65" s="8">
        <v>93.69</v>
      </c>
      <c r="J65" s="6" t="s">
        <v>151</v>
      </c>
      <c r="K65" s="6" t="s">
        <v>43</v>
      </c>
      <c r="L65" t="str" cm="1">
        <f t="array" ref="L65">_xlfn.IFS(G65&gt;6,"Duże zamówienie",G65&lt;=6,"Standardowe")</f>
        <v>Duże zamówienie</v>
      </c>
      <c r="M65" t="str" cm="1">
        <f t="array" ref="M65">_xlfn.IFS(AND(C65="Warszawa",G65&gt;5),"Wysoki",OR(C65="Warszawa",C65="Kraków"),"Średni",TRUE,"Niski")</f>
        <v>Niski</v>
      </c>
      <c r="N65" t="str">
        <f>_xlfn.XLOOKUP(F65,Produkty!$A$2:$A$15,Produkty!$B$2:$B$15,"Brak w katalogu")</f>
        <v>Americano</v>
      </c>
      <c r="O65" t="str">
        <f>_xlfn.XLOOKUP(N65,Produkty!$B$2:$B$15,Produkty!$C$2:$C$15,"Brak w katalogu")</f>
        <v>Napoje gorące</v>
      </c>
      <c r="P65" s="15">
        <f>_xlfn.XLOOKUP(Dane!F65,Produkty!$A$2:$A$15,Produkty!$D$2:$D$15)</f>
        <v>11</v>
      </c>
      <c r="Q65" s="15">
        <f t="shared" si="0"/>
        <v>0.58999999999999986</v>
      </c>
      <c r="R65" t="str">
        <f t="shared" si="1"/>
        <v>Bartosz Zajac</v>
      </c>
      <c r="S65" t="str">
        <f t="shared" si="2"/>
        <v>kawiarnia.pl</v>
      </c>
      <c r="T65" t="str">
        <f t="shared" si="3"/>
        <v>B.Z.</v>
      </c>
      <c r="U65" t="str">
        <f t="shared" si="4"/>
        <v>Poznań-K004</v>
      </c>
      <c r="V65" t="str">
        <f t="shared" si="7"/>
        <v>30-08-2024</v>
      </c>
      <c r="W65" t="str">
        <f t="shared" si="5"/>
        <v>zakonczone</v>
      </c>
      <c r="X65" s="22">
        <f t="shared" si="6"/>
        <v>5.3636363636363621E-2</v>
      </c>
    </row>
    <row r="66" spans="1:24" x14ac:dyDescent="0.25">
      <c r="A66" s="6" t="s">
        <v>190</v>
      </c>
      <c r="B66" s="7">
        <v>45548</v>
      </c>
      <c r="C66" s="6" t="s">
        <v>110</v>
      </c>
      <c r="D66" s="6" t="s">
        <v>46</v>
      </c>
      <c r="E66" s="6" t="s">
        <v>47</v>
      </c>
      <c r="F66" s="6" t="s">
        <v>34</v>
      </c>
      <c r="G66" s="6">
        <v>6</v>
      </c>
      <c r="H66" s="8">
        <v>10.74</v>
      </c>
      <c r="I66" s="8">
        <v>64.44</v>
      </c>
      <c r="J66" s="6" t="s">
        <v>154</v>
      </c>
      <c r="K66" s="6" t="s">
        <v>61</v>
      </c>
      <c r="L66" t="str" cm="1">
        <f t="array" ref="L66">_xlfn.IFS(G66&gt;6,"Duże zamówienie",G66&lt;=6,"Standardowe")</f>
        <v>Standardowe</v>
      </c>
      <c r="M66" t="str" cm="1">
        <f t="array" ref="M66">_xlfn.IFS(AND(C66="Warszawa",G66&gt;5),"Wysoki",OR(C66="Warszawa",C66="Kraków"),"Średni",TRUE,"Niski")</f>
        <v>Niski</v>
      </c>
      <c r="N66" t="str">
        <f>_xlfn.XLOOKUP(F66,Produkty!$A$2:$A$15,Produkty!$B$2:$B$15,"Brak w katalogu")</f>
        <v>Americano</v>
      </c>
      <c r="O66" t="str">
        <f>_xlfn.XLOOKUP(N66,Produkty!$B$2:$B$15,Produkty!$C$2:$C$15,"Brak w katalogu")</f>
        <v>Napoje gorące</v>
      </c>
      <c r="P66" s="15">
        <f>_xlfn.XLOOKUP(Dane!F66,Produkty!$A$2:$A$15,Produkty!$D$2:$D$15)</f>
        <v>11</v>
      </c>
      <c r="Q66" s="15">
        <f t="shared" si="0"/>
        <v>0.25999999999999979</v>
      </c>
      <c r="R66" t="str">
        <f t="shared" si="1"/>
        <v>Bartosz Zajac</v>
      </c>
      <c r="S66" t="str">
        <f t="shared" si="2"/>
        <v>kawiarnia.pl</v>
      </c>
      <c r="T66" t="str">
        <f t="shared" si="3"/>
        <v>B.Z.</v>
      </c>
      <c r="U66" t="str">
        <f t="shared" si="4"/>
        <v>Wrocław-K004</v>
      </c>
      <c r="V66" t="str">
        <f t="shared" si="7"/>
        <v>13-09-2024</v>
      </c>
      <c r="W66" t="str">
        <f t="shared" si="5"/>
        <v>w realizacji</v>
      </c>
      <c r="X66" s="22">
        <f t="shared" si="6"/>
        <v>2.3636363636363619E-2</v>
      </c>
    </row>
    <row r="67" spans="1:24" x14ac:dyDescent="0.25">
      <c r="A67" s="6" t="s">
        <v>191</v>
      </c>
      <c r="B67" s="7">
        <v>45606</v>
      </c>
      <c r="C67" s="6" t="s">
        <v>110</v>
      </c>
      <c r="D67" s="6" t="s">
        <v>39</v>
      </c>
      <c r="E67" s="6" t="s">
        <v>192</v>
      </c>
      <c r="F67" s="6" t="s">
        <v>76</v>
      </c>
      <c r="G67" s="6">
        <v>3</v>
      </c>
      <c r="H67" s="8">
        <v>21.69</v>
      </c>
      <c r="I67" s="8">
        <v>65.069999999999993</v>
      </c>
      <c r="J67" s="6" t="s">
        <v>193</v>
      </c>
      <c r="K67" s="6" t="s">
        <v>36</v>
      </c>
      <c r="L67" t="str" cm="1">
        <f t="array" ref="L67">_xlfn.IFS(G67&gt;6,"Duże zamówienie",G67&lt;=6,"Standardowe")</f>
        <v>Standardowe</v>
      </c>
      <c r="M67" t="str" cm="1">
        <f t="array" ref="M67">_xlfn.IFS(AND(C67="Warszawa",G67&gt;5),"Wysoki",OR(C67="Warszawa",C67="Kraków"),"Średni",TRUE,"Niski")</f>
        <v>Niski</v>
      </c>
      <c r="N67" t="str">
        <f>_xlfn.XLOOKUP(F67,Produkty!$A$2:$A$15,Produkty!$B$2:$B$15,"Brak w katalogu")</f>
        <v>Sałatka Cesar</v>
      </c>
      <c r="O67" t="str">
        <f>_xlfn.XLOOKUP(N67,Produkty!$B$2:$B$15,Produkty!$C$2:$C$15,"Brak w katalogu")</f>
        <v>Przekąski</v>
      </c>
      <c r="P67" s="15">
        <f>_xlfn.XLOOKUP(Dane!F67,Produkty!$A$2:$A$15,Produkty!$D$2:$D$15)</f>
        <v>22</v>
      </c>
      <c r="Q67" s="15">
        <f t="shared" ref="Q67:Q130" si="8">SUM(P67-H67)</f>
        <v>0.30999999999999872</v>
      </c>
      <c r="R67" t="str">
        <f t="shared" ref="R67:R130" si="9">TRIM(PROPER(D67))</f>
        <v>Aleksandra Kowal</v>
      </c>
      <c r="S67" t="str">
        <f t="shared" ref="S67:S130" si="10">LOWER(TRIM(_xlfn.TEXTAFTER(E67,"@")))</f>
        <v>kawiarnia.pl</v>
      </c>
      <c r="T67" t="str">
        <f t="shared" ref="T67:T130" si="11">_xlfn.CONCAT(LEFT(R67,1),".",LEFT(_xlfn.TEXTAFTER(R67," "),"1"),".")</f>
        <v>A.K.</v>
      </c>
      <c r="U67" t="str">
        <f t="shared" ref="U67:U130" si="12">_xlfn.CONCAT(C67,"-",F67)</f>
        <v>Wrocław-K013</v>
      </c>
      <c r="V67" t="str">
        <f t="shared" si="7"/>
        <v>10-11-2024</v>
      </c>
      <c r="W67" t="str">
        <f t="shared" ref="W67:W130" si="13">TRIM(LOWER(K67))</f>
        <v>w realizacji</v>
      </c>
      <c r="X67" s="22">
        <f t="shared" ref="X67:X130" si="14">Q67/P67</f>
        <v>1.4090909090909032E-2</v>
      </c>
    </row>
    <row r="68" spans="1:24" x14ac:dyDescent="0.25">
      <c r="A68" s="6" t="s">
        <v>194</v>
      </c>
      <c r="B68" s="7">
        <v>45496</v>
      </c>
      <c r="C68" s="6" t="s">
        <v>38</v>
      </c>
      <c r="D68" s="6" t="s">
        <v>39</v>
      </c>
      <c r="E68" s="6" t="s">
        <v>192</v>
      </c>
      <c r="F68" s="6" t="s">
        <v>41</v>
      </c>
      <c r="G68" s="6">
        <v>8</v>
      </c>
      <c r="H68" s="8">
        <v>10.99</v>
      </c>
      <c r="I68" s="8">
        <v>87.92</v>
      </c>
      <c r="J68" s="6" t="s">
        <v>195</v>
      </c>
      <c r="K68" s="6" t="s">
        <v>61</v>
      </c>
      <c r="L68" t="str" cm="1">
        <f t="array" ref="L68">_xlfn.IFS(G68&gt;6,"Duże zamówienie",G68&lt;=6,"Standardowe")</f>
        <v>Duże zamówienie</v>
      </c>
      <c r="M68" t="str" cm="1">
        <f t="array" ref="M68">_xlfn.IFS(AND(C68="Warszawa",G68&gt;5),"Wysoki",OR(C68="Warszawa",C68="Kraków"),"Średni",TRUE,"Niski")</f>
        <v>Niski</v>
      </c>
      <c r="N68" t="str">
        <f>_xlfn.XLOOKUP(F68,Produkty!$A$2:$A$15,Produkty!$B$2:$B$15,"Brak w katalogu")</f>
        <v>Lemoniada</v>
      </c>
      <c r="O68" t="str">
        <f>_xlfn.XLOOKUP(N68,Produkty!$B$2:$B$15,Produkty!$C$2:$C$15,"Brak w katalogu")</f>
        <v>Napoje zimne</v>
      </c>
      <c r="P68" s="15">
        <f>_xlfn.XLOOKUP(Dane!F68,Produkty!$A$2:$A$15,Produkty!$D$2:$D$15)</f>
        <v>12</v>
      </c>
      <c r="Q68" s="15">
        <f t="shared" si="8"/>
        <v>1.0099999999999998</v>
      </c>
      <c r="R68" t="str">
        <f t="shared" si="9"/>
        <v>Aleksandra Kowal</v>
      </c>
      <c r="S68" t="str">
        <f t="shared" si="10"/>
        <v>kawiarnia.pl</v>
      </c>
      <c r="T68" t="str">
        <f t="shared" si="11"/>
        <v>A.K.</v>
      </c>
      <c r="U68" t="str">
        <f t="shared" si="12"/>
        <v>Gdańsk-K007</v>
      </c>
      <c r="V68" t="str">
        <f t="shared" ref="V68:V131" si="15">TEXT(B68,"dd-mm-rrrr")</f>
        <v>23-07-2024</v>
      </c>
      <c r="W68" t="str">
        <f t="shared" si="13"/>
        <v>w realizacji</v>
      </c>
      <c r="X68" s="22">
        <f t="shared" si="14"/>
        <v>8.4166666666666654E-2</v>
      </c>
    </row>
    <row r="69" spans="1:24" x14ac:dyDescent="0.25">
      <c r="A69" s="6" t="s">
        <v>196</v>
      </c>
      <c r="B69" s="7">
        <v>45337</v>
      </c>
      <c r="C69" s="6" t="s">
        <v>45</v>
      </c>
      <c r="D69" s="6" t="s">
        <v>74</v>
      </c>
      <c r="E69" s="6" t="s">
        <v>108</v>
      </c>
      <c r="F69" s="6" t="s">
        <v>113</v>
      </c>
      <c r="G69" s="6">
        <v>5</v>
      </c>
      <c r="H69" s="8">
        <v>17.11</v>
      </c>
      <c r="I69" s="8">
        <v>85.55</v>
      </c>
      <c r="J69" s="6" t="s">
        <v>156</v>
      </c>
      <c r="K69" s="6" t="s">
        <v>50</v>
      </c>
      <c r="L69" t="str" cm="1">
        <f t="array" ref="L69">_xlfn.IFS(G69&gt;6,"Duże zamówienie",G69&lt;=6,"Standardowe")</f>
        <v>Standardowe</v>
      </c>
      <c r="M69" t="str" cm="1">
        <f t="array" ref="M69">_xlfn.IFS(AND(C69="Warszawa",G69&gt;5),"Wysoki",OR(C69="Warszawa",C69="Kraków"),"Średni",TRUE,"Niski")</f>
        <v>Średni</v>
      </c>
      <c r="N69" t="str">
        <f>_xlfn.XLOOKUP(F69,Produkty!$A$2:$A$15,Produkty!$B$2:$B$15,"Brak w katalogu")</f>
        <v>Bagietka z szynką</v>
      </c>
      <c r="O69" t="str">
        <f>_xlfn.XLOOKUP(N69,Produkty!$B$2:$B$15,Produkty!$C$2:$C$15,"Brak w katalogu")</f>
        <v>Przekąski</v>
      </c>
      <c r="P69" s="15">
        <f>_xlfn.XLOOKUP(Dane!F69,Produkty!$A$2:$A$15,Produkty!$D$2:$D$15)</f>
        <v>17</v>
      </c>
      <c r="Q69" s="15">
        <f t="shared" si="8"/>
        <v>-0.10999999999999943</v>
      </c>
      <c r="R69" t="str">
        <f t="shared" si="9"/>
        <v>Pawel Mazur</v>
      </c>
      <c r="S69" t="str">
        <f t="shared" si="10"/>
        <v>kawiarnia.pl</v>
      </c>
      <c r="T69" t="str">
        <f t="shared" si="11"/>
        <v>P.M.</v>
      </c>
      <c r="U69" t="str">
        <f t="shared" si="12"/>
        <v>Kraków-K012</v>
      </c>
      <c r="V69" t="str">
        <f t="shared" si="15"/>
        <v>15-02-2024</v>
      </c>
      <c r="W69" t="str">
        <f t="shared" si="13"/>
        <v>zakonczone</v>
      </c>
      <c r="X69" s="22">
        <f t="shared" si="14"/>
        <v>-6.4705882352940839E-3</v>
      </c>
    </row>
    <row r="70" spans="1:24" x14ac:dyDescent="0.25">
      <c r="A70" s="6" t="s">
        <v>197</v>
      </c>
      <c r="B70" s="7">
        <v>45638</v>
      </c>
      <c r="C70" s="6" t="s">
        <v>45</v>
      </c>
      <c r="D70" s="6" t="s">
        <v>39</v>
      </c>
      <c r="E70" s="6" t="s">
        <v>40</v>
      </c>
      <c r="F70" s="6" t="s">
        <v>102</v>
      </c>
      <c r="G70" s="6">
        <v>4</v>
      </c>
      <c r="H70" s="8">
        <v>8.5</v>
      </c>
      <c r="I70" s="8">
        <v>34</v>
      </c>
      <c r="J70" s="6" t="s">
        <v>198</v>
      </c>
      <c r="K70" s="6" t="s">
        <v>50</v>
      </c>
      <c r="L70" t="str" cm="1">
        <f t="array" ref="L70">_xlfn.IFS(G70&gt;6,"Duże zamówienie",G70&lt;=6,"Standardowe")</f>
        <v>Standardowe</v>
      </c>
      <c r="M70" t="str" cm="1">
        <f t="array" ref="M70">_xlfn.IFS(AND(C70="Warszawa",G70&gt;5),"Wysoki",OR(C70="Warszawa",C70="Kraków"),"Średni",TRUE,"Niski")</f>
        <v>Średni</v>
      </c>
      <c r="N70" t="str">
        <f>_xlfn.XLOOKUP(F70,Produkty!$A$2:$A$15,Produkty!$B$2:$B$15,"Brak w katalogu")</f>
        <v>Espresso</v>
      </c>
      <c r="O70" t="str">
        <f>_xlfn.XLOOKUP(N70,Produkty!$B$2:$B$15,Produkty!$C$2:$C$15,"Brak w katalogu")</f>
        <v>Napoje gorące</v>
      </c>
      <c r="P70" s="15">
        <f>_xlfn.XLOOKUP(Dane!F70,Produkty!$A$2:$A$15,Produkty!$D$2:$D$15)</f>
        <v>9</v>
      </c>
      <c r="Q70" s="15">
        <f t="shared" si="8"/>
        <v>0.5</v>
      </c>
      <c r="R70" t="str">
        <f t="shared" si="9"/>
        <v>Aleksandra Kowal</v>
      </c>
      <c r="S70" t="str">
        <f t="shared" si="10"/>
        <v>kawiarnia.pl</v>
      </c>
      <c r="T70" t="str">
        <f t="shared" si="11"/>
        <v>A.K.</v>
      </c>
      <c r="U70" t="str">
        <f t="shared" si="12"/>
        <v>Kraków-K001</v>
      </c>
      <c r="V70" t="str">
        <f t="shared" si="15"/>
        <v>12-12-2024</v>
      </c>
      <c r="W70" t="str">
        <f t="shared" si="13"/>
        <v>zakonczone</v>
      </c>
      <c r="X70" s="22">
        <f t="shared" si="14"/>
        <v>5.5555555555555552E-2</v>
      </c>
    </row>
    <row r="71" spans="1:24" x14ac:dyDescent="0.25">
      <c r="A71" s="6" t="s">
        <v>199</v>
      </c>
      <c r="B71" s="7">
        <v>45313</v>
      </c>
      <c r="C71" s="6" t="s">
        <v>31</v>
      </c>
      <c r="D71" s="6" t="s">
        <v>74</v>
      </c>
      <c r="E71" s="6" t="s">
        <v>139</v>
      </c>
      <c r="F71" s="6" t="s">
        <v>84</v>
      </c>
      <c r="G71" s="6">
        <v>4</v>
      </c>
      <c r="H71" s="8">
        <v>15.24</v>
      </c>
      <c r="I71" s="8">
        <v>60.96</v>
      </c>
      <c r="J71" s="6" t="s">
        <v>200</v>
      </c>
      <c r="K71" s="6" t="s">
        <v>36</v>
      </c>
      <c r="L71" t="str" cm="1">
        <f t="array" ref="L71">_xlfn.IFS(G71&gt;6,"Duże zamówienie",G71&lt;=6,"Standardowe")</f>
        <v>Standardowe</v>
      </c>
      <c r="M71" t="str" cm="1">
        <f t="array" ref="M71">_xlfn.IFS(AND(C71="Warszawa",G71&gt;5),"Wysoki",OR(C71="Warszawa",C71="Kraków"),"Średni",TRUE,"Niski")</f>
        <v>Niski</v>
      </c>
      <c r="N71" t="str">
        <f>_xlfn.XLOOKUP(F71,Produkty!$A$2:$A$15,Produkty!$B$2:$B$15,"Brak w katalogu")</f>
        <v>Mrożona kawa</v>
      </c>
      <c r="O71" t="str">
        <f>_xlfn.XLOOKUP(N71,Produkty!$B$2:$B$15,Produkty!$C$2:$C$15,"Brak w katalogu")</f>
        <v>Napoje zimne</v>
      </c>
      <c r="P71" s="15">
        <f>_xlfn.XLOOKUP(Dane!F71,Produkty!$A$2:$A$15,Produkty!$D$2:$D$15)</f>
        <v>16</v>
      </c>
      <c r="Q71" s="15">
        <f t="shared" si="8"/>
        <v>0.75999999999999979</v>
      </c>
      <c r="R71" t="str">
        <f t="shared" si="9"/>
        <v>Pawel Mazur</v>
      </c>
      <c r="S71" t="str">
        <f t="shared" si="10"/>
        <v>kawiarnia.pl</v>
      </c>
      <c r="T71" t="str">
        <f t="shared" si="11"/>
        <v>P.M.</v>
      </c>
      <c r="U71" t="str">
        <f t="shared" si="12"/>
        <v>Poznań-K006</v>
      </c>
      <c r="V71" t="str">
        <f t="shared" si="15"/>
        <v>22-01-2024</v>
      </c>
      <c r="W71" t="str">
        <f t="shared" si="13"/>
        <v>w realizacji</v>
      </c>
      <c r="X71" s="22">
        <f t="shared" si="14"/>
        <v>4.7499999999999987E-2</v>
      </c>
    </row>
    <row r="72" spans="1:24" x14ac:dyDescent="0.25">
      <c r="A72" s="6" t="s">
        <v>201</v>
      </c>
      <c r="B72" s="7">
        <v>45458</v>
      </c>
      <c r="C72" s="6" t="s">
        <v>38</v>
      </c>
      <c r="D72" s="6" t="s">
        <v>32</v>
      </c>
      <c r="E72" s="6" t="s">
        <v>170</v>
      </c>
      <c r="F72" s="6" t="s">
        <v>96</v>
      </c>
      <c r="G72" s="6">
        <v>9</v>
      </c>
      <c r="H72" s="8">
        <v>8.92</v>
      </c>
      <c r="I72" s="8">
        <v>80.28</v>
      </c>
      <c r="J72" s="6" t="s">
        <v>49</v>
      </c>
      <c r="K72" s="6" t="s">
        <v>78</v>
      </c>
      <c r="L72" t="str" cm="1">
        <f t="array" ref="L72">_xlfn.IFS(G72&gt;6,"Duże zamówienie",G72&lt;=6,"Standardowe")</f>
        <v>Duże zamówienie</v>
      </c>
      <c r="M72" t="str" cm="1">
        <f t="array" ref="M72">_xlfn.IFS(AND(C72="Warszawa",G72&gt;5),"Wysoki",OR(C72="Warszawa",C72="Kraków"),"Średni",TRUE,"Niski")</f>
        <v>Niski</v>
      </c>
      <c r="N72" t="str">
        <f>_xlfn.XLOOKUP(F72,Produkty!$A$2:$A$15,Produkty!$B$2:$B$15,"Brak w katalogu")</f>
        <v>Muffin czekoladowy</v>
      </c>
      <c r="O72" t="str">
        <f>_xlfn.XLOOKUP(N72,Produkty!$B$2:$B$15,Produkty!$C$2:$C$15,"Brak w katalogu")</f>
        <v>Wypieki</v>
      </c>
      <c r="P72" s="15">
        <f>_xlfn.XLOOKUP(Dane!F72,Produkty!$A$2:$A$15,Produkty!$D$2:$D$15)</f>
        <v>9</v>
      </c>
      <c r="Q72" s="15">
        <f t="shared" si="8"/>
        <v>8.0000000000000071E-2</v>
      </c>
      <c r="R72" t="str">
        <f t="shared" si="9"/>
        <v>Natalia Krawczyk</v>
      </c>
      <c r="S72" t="str">
        <f t="shared" si="10"/>
        <v>kawiarnia.pl</v>
      </c>
      <c r="T72" t="str">
        <f t="shared" si="11"/>
        <v>N.K.</v>
      </c>
      <c r="U72" t="str">
        <f t="shared" si="12"/>
        <v>Gdańsk-K011</v>
      </c>
      <c r="V72" t="str">
        <f t="shared" si="15"/>
        <v>15-06-2024</v>
      </c>
      <c r="W72" t="str">
        <f t="shared" si="13"/>
        <v>nowe</v>
      </c>
      <c r="X72" s="22">
        <f t="shared" si="14"/>
        <v>8.8888888888888976E-3</v>
      </c>
    </row>
    <row r="73" spans="1:24" x14ac:dyDescent="0.25">
      <c r="A73" s="6" t="s">
        <v>202</v>
      </c>
      <c r="B73" s="7">
        <v>45375</v>
      </c>
      <c r="C73" s="6" t="s">
        <v>38</v>
      </c>
      <c r="D73" s="6" t="s">
        <v>111</v>
      </c>
      <c r="E73" s="6" t="s">
        <v>112</v>
      </c>
      <c r="F73" s="6" t="s">
        <v>88</v>
      </c>
      <c r="G73" s="6">
        <v>9</v>
      </c>
      <c r="H73" s="8">
        <v>7.57</v>
      </c>
      <c r="I73" s="8">
        <v>68.13</v>
      </c>
      <c r="J73" s="6" t="s">
        <v>178</v>
      </c>
      <c r="K73" s="6" t="s">
        <v>50</v>
      </c>
      <c r="L73" t="str" cm="1">
        <f t="array" ref="L73">_xlfn.IFS(G73&gt;6,"Duże zamówienie",G73&lt;=6,"Standardowe")</f>
        <v>Duże zamówienie</v>
      </c>
      <c r="M73" t="str" cm="1">
        <f t="array" ref="M73">_xlfn.IFS(AND(C73="Warszawa",G73&gt;5),"Wysoki",OR(C73="Warszawa",C73="Kraków"),"Średni",TRUE,"Niski")</f>
        <v>Niski</v>
      </c>
      <c r="N73" t="str">
        <f>_xlfn.XLOOKUP(F73,Produkty!$A$2:$A$15,Produkty!$B$2:$B$15,"Brak w katalogu")</f>
        <v>Croissant</v>
      </c>
      <c r="O73" t="str">
        <f>_xlfn.XLOOKUP(N73,Produkty!$B$2:$B$15,Produkty!$C$2:$C$15,"Brak w katalogu")</f>
        <v>Wypieki</v>
      </c>
      <c r="P73" s="15">
        <f>_xlfn.XLOOKUP(Dane!F73,Produkty!$A$2:$A$15,Produkty!$D$2:$D$15)</f>
        <v>8</v>
      </c>
      <c r="Q73" s="15">
        <f t="shared" si="8"/>
        <v>0.42999999999999972</v>
      </c>
      <c r="R73" t="str">
        <f t="shared" si="9"/>
        <v>Julia Jankowska</v>
      </c>
      <c r="S73" t="str">
        <f t="shared" si="10"/>
        <v>kawiarnia.pl</v>
      </c>
      <c r="T73" t="str">
        <f t="shared" si="11"/>
        <v>J.J.</v>
      </c>
      <c r="U73" t="str">
        <f t="shared" si="12"/>
        <v>Gdańsk-K009</v>
      </c>
      <c r="V73" t="str">
        <f t="shared" si="15"/>
        <v>24-03-2024</v>
      </c>
      <c r="W73" t="str">
        <f t="shared" si="13"/>
        <v>zakonczone</v>
      </c>
      <c r="X73" s="22">
        <f t="shared" si="14"/>
        <v>5.3749999999999964E-2</v>
      </c>
    </row>
    <row r="74" spans="1:24" x14ac:dyDescent="0.25">
      <c r="A74" s="6" t="s">
        <v>203</v>
      </c>
      <c r="B74" s="7">
        <v>45595</v>
      </c>
      <c r="C74" s="6" t="s">
        <v>110</v>
      </c>
      <c r="D74" s="6" t="s">
        <v>46</v>
      </c>
      <c r="E74" s="6" t="s">
        <v>83</v>
      </c>
      <c r="F74" s="6" t="s">
        <v>67</v>
      </c>
      <c r="G74" s="6">
        <v>9</v>
      </c>
      <c r="H74" s="8">
        <v>12.32</v>
      </c>
      <c r="I74" s="8">
        <v>110.88</v>
      </c>
      <c r="J74" s="6" t="s">
        <v>103</v>
      </c>
      <c r="K74" s="6" t="s">
        <v>50</v>
      </c>
      <c r="L74" t="str" cm="1">
        <f t="array" ref="L74">_xlfn.IFS(G74&gt;6,"Duże zamówienie",G74&lt;=6,"Standardowe")</f>
        <v>Duże zamówienie</v>
      </c>
      <c r="M74" t="str" cm="1">
        <f t="array" ref="M74">_xlfn.IFS(AND(C74="Warszawa",G74&gt;5),"Wysoki",OR(C74="Warszawa",C74="Kraków"),"Średni",TRUE,"Niski")</f>
        <v>Niski</v>
      </c>
      <c r="N74" t="str">
        <f>_xlfn.XLOOKUP(F74,Produkty!$A$2:$A$15,Produkty!$B$2:$B$15,"Brak w katalogu")</f>
        <v>Cappuccino</v>
      </c>
      <c r="O74" t="str">
        <f>_xlfn.XLOOKUP(N74,Produkty!$B$2:$B$15,Produkty!$C$2:$C$15,"Brak w katalogu")</f>
        <v>Napoje gorące</v>
      </c>
      <c r="P74" s="15">
        <f>_xlfn.XLOOKUP(Dane!F74,Produkty!$A$2:$A$15,Produkty!$D$2:$D$15)</f>
        <v>13</v>
      </c>
      <c r="Q74" s="15">
        <f t="shared" si="8"/>
        <v>0.67999999999999972</v>
      </c>
      <c r="R74" t="str">
        <f t="shared" si="9"/>
        <v>Bartosz Zajac</v>
      </c>
      <c r="S74" t="str">
        <f t="shared" si="10"/>
        <v>kawiarnia.pl</v>
      </c>
      <c r="T74" t="str">
        <f t="shared" si="11"/>
        <v>B.Z.</v>
      </c>
      <c r="U74" t="str">
        <f t="shared" si="12"/>
        <v>Wrocław-K002</v>
      </c>
      <c r="V74" t="str">
        <f t="shared" si="15"/>
        <v>30-10-2024</v>
      </c>
      <c r="W74" t="str">
        <f t="shared" si="13"/>
        <v>zakonczone</v>
      </c>
      <c r="X74" s="22">
        <f t="shared" si="14"/>
        <v>5.2307692307692284E-2</v>
      </c>
    </row>
    <row r="75" spans="1:24" x14ac:dyDescent="0.25">
      <c r="A75" s="6" t="s">
        <v>204</v>
      </c>
      <c r="B75" s="7">
        <v>45441</v>
      </c>
      <c r="C75" s="6" t="s">
        <v>110</v>
      </c>
      <c r="D75" s="6" t="s">
        <v>46</v>
      </c>
      <c r="E75" s="6" t="s">
        <v>80</v>
      </c>
      <c r="F75" s="6" t="s">
        <v>76</v>
      </c>
      <c r="G75" s="6">
        <v>12</v>
      </c>
      <c r="H75" s="8">
        <v>20.13</v>
      </c>
      <c r="I75" s="8">
        <v>241.56</v>
      </c>
      <c r="J75" s="6" t="s">
        <v>205</v>
      </c>
      <c r="K75" s="6" t="s">
        <v>43</v>
      </c>
      <c r="L75" t="str" cm="1">
        <f t="array" ref="L75">_xlfn.IFS(G75&gt;6,"Duże zamówienie",G75&lt;=6,"Standardowe")</f>
        <v>Duże zamówienie</v>
      </c>
      <c r="M75" t="str" cm="1">
        <f t="array" ref="M75">_xlfn.IFS(AND(C75="Warszawa",G75&gt;5),"Wysoki",OR(C75="Warszawa",C75="Kraków"),"Średni",TRUE,"Niski")</f>
        <v>Niski</v>
      </c>
      <c r="N75" t="str">
        <f>_xlfn.XLOOKUP(F75,Produkty!$A$2:$A$15,Produkty!$B$2:$B$15,"Brak w katalogu")</f>
        <v>Sałatka Cesar</v>
      </c>
      <c r="O75" t="str">
        <f>_xlfn.XLOOKUP(N75,Produkty!$B$2:$B$15,Produkty!$C$2:$C$15,"Brak w katalogu")</f>
        <v>Przekąski</v>
      </c>
      <c r="P75" s="15">
        <f>_xlfn.XLOOKUP(Dane!F75,Produkty!$A$2:$A$15,Produkty!$D$2:$D$15)</f>
        <v>22</v>
      </c>
      <c r="Q75" s="15">
        <f t="shared" si="8"/>
        <v>1.870000000000001</v>
      </c>
      <c r="R75" t="str">
        <f t="shared" si="9"/>
        <v>Bartosz Zajac</v>
      </c>
      <c r="S75" t="str">
        <f t="shared" si="10"/>
        <v>kawiarnia.pl</v>
      </c>
      <c r="T75" t="str">
        <f t="shared" si="11"/>
        <v>B.Z.</v>
      </c>
      <c r="U75" t="str">
        <f t="shared" si="12"/>
        <v>Wrocław-K013</v>
      </c>
      <c r="V75" t="str">
        <f t="shared" si="15"/>
        <v>29-05-2024</v>
      </c>
      <c r="W75" t="str">
        <f t="shared" si="13"/>
        <v>zakonczone</v>
      </c>
      <c r="X75" s="22">
        <f t="shared" si="14"/>
        <v>8.5000000000000048E-2</v>
      </c>
    </row>
    <row r="76" spans="1:24" x14ac:dyDescent="0.25">
      <c r="A76" s="6" t="s">
        <v>206</v>
      </c>
      <c r="B76" s="7">
        <v>45308</v>
      </c>
      <c r="C76" s="6" t="s">
        <v>110</v>
      </c>
      <c r="D76" s="6" t="s">
        <v>70</v>
      </c>
      <c r="E76" s="6" t="s">
        <v>145</v>
      </c>
      <c r="F76" s="6" t="s">
        <v>102</v>
      </c>
      <c r="G76" s="6">
        <v>3</v>
      </c>
      <c r="H76" s="8">
        <v>8.9499999999999993</v>
      </c>
      <c r="I76" s="8">
        <v>26.85</v>
      </c>
      <c r="J76" s="6" t="s">
        <v>207</v>
      </c>
      <c r="K76" s="6" t="s">
        <v>78</v>
      </c>
      <c r="L76" t="str" cm="1">
        <f t="array" ref="L76">_xlfn.IFS(G76&gt;6,"Duże zamówienie",G76&lt;=6,"Standardowe")</f>
        <v>Standardowe</v>
      </c>
      <c r="M76" t="str" cm="1">
        <f t="array" ref="M76">_xlfn.IFS(AND(C76="Warszawa",G76&gt;5),"Wysoki",OR(C76="Warszawa",C76="Kraków"),"Średni",TRUE,"Niski")</f>
        <v>Niski</v>
      </c>
      <c r="N76" t="str">
        <f>_xlfn.XLOOKUP(F76,Produkty!$A$2:$A$15,Produkty!$B$2:$B$15,"Brak w katalogu")</f>
        <v>Espresso</v>
      </c>
      <c r="O76" t="str">
        <f>_xlfn.XLOOKUP(N76,Produkty!$B$2:$B$15,Produkty!$C$2:$C$15,"Brak w katalogu")</f>
        <v>Napoje gorące</v>
      </c>
      <c r="P76" s="15">
        <f>_xlfn.XLOOKUP(Dane!F76,Produkty!$A$2:$A$15,Produkty!$D$2:$D$15)</f>
        <v>9</v>
      </c>
      <c r="Q76" s="15">
        <f t="shared" si="8"/>
        <v>5.0000000000000711E-2</v>
      </c>
      <c r="R76" t="str">
        <f t="shared" si="9"/>
        <v>Kamil Wozniak</v>
      </c>
      <c r="S76" t="str">
        <f t="shared" si="10"/>
        <v>kawiarnia.pl</v>
      </c>
      <c r="T76" t="str">
        <f t="shared" si="11"/>
        <v>K.W.</v>
      </c>
      <c r="U76" t="str">
        <f t="shared" si="12"/>
        <v>Wrocław-K001</v>
      </c>
      <c r="V76" t="str">
        <f t="shared" si="15"/>
        <v>17-01-2024</v>
      </c>
      <c r="W76" t="str">
        <f t="shared" si="13"/>
        <v>nowe</v>
      </c>
      <c r="X76" s="22">
        <f t="shared" si="14"/>
        <v>5.5555555555556347E-3</v>
      </c>
    </row>
    <row r="77" spans="1:24" x14ac:dyDescent="0.25">
      <c r="A77" s="6" t="s">
        <v>208</v>
      </c>
      <c r="B77" s="7">
        <v>45511</v>
      </c>
      <c r="C77" s="6" t="s">
        <v>38</v>
      </c>
      <c r="D77" s="6" t="s">
        <v>70</v>
      </c>
      <c r="E77" s="6" t="s">
        <v>71</v>
      </c>
      <c r="F77" s="6" t="s">
        <v>48</v>
      </c>
      <c r="G77" s="6">
        <v>7</v>
      </c>
      <c r="H77" s="8">
        <v>5.63</v>
      </c>
      <c r="I77" s="8">
        <v>39.409999999999997</v>
      </c>
      <c r="J77" s="6" t="s">
        <v>56</v>
      </c>
      <c r="K77" s="6" t="s">
        <v>43</v>
      </c>
      <c r="L77" t="str" cm="1">
        <f t="array" ref="L77">_xlfn.IFS(G77&gt;6,"Duże zamówienie",G77&lt;=6,"Standardowe")</f>
        <v>Duże zamówienie</v>
      </c>
      <c r="M77" t="str" cm="1">
        <f t="array" ref="M77">_xlfn.IFS(AND(C77="Warszawa",G77&gt;5),"Wysoki",OR(C77="Warszawa",C77="Kraków"),"Średni",TRUE,"Niski")</f>
        <v>Niski</v>
      </c>
      <c r="N77" t="str">
        <f>_xlfn.XLOOKUP(F77,Produkty!$A$2:$A$15,Produkty!$B$2:$B$15,"Brak w katalogu")</f>
        <v>Batonik musli</v>
      </c>
      <c r="O77" t="str">
        <f>_xlfn.XLOOKUP(N77,Produkty!$B$2:$B$15,Produkty!$C$2:$C$15,"Brak w katalogu")</f>
        <v>Przekąski</v>
      </c>
      <c r="P77" s="15">
        <f>_xlfn.XLOOKUP(Dane!F77,Produkty!$A$2:$A$15,Produkty!$D$2:$D$15)</f>
        <v>6</v>
      </c>
      <c r="Q77" s="15">
        <f t="shared" si="8"/>
        <v>0.37000000000000011</v>
      </c>
      <c r="R77" t="str">
        <f t="shared" si="9"/>
        <v>Kamil Wozniak</v>
      </c>
      <c r="S77" t="str">
        <f t="shared" si="10"/>
        <v>kawiarnia.pl</v>
      </c>
      <c r="T77" t="str">
        <f t="shared" si="11"/>
        <v>K.W.</v>
      </c>
      <c r="U77" t="str">
        <f t="shared" si="12"/>
        <v>Gdańsk-K014</v>
      </c>
      <c r="V77" t="str">
        <f t="shared" si="15"/>
        <v>07-08-2024</v>
      </c>
      <c r="W77" t="str">
        <f t="shared" si="13"/>
        <v>zakonczone</v>
      </c>
      <c r="X77" s="22">
        <f t="shared" si="14"/>
        <v>6.1666666666666682E-2</v>
      </c>
    </row>
    <row r="78" spans="1:24" x14ac:dyDescent="0.25">
      <c r="A78" s="6" t="s">
        <v>209</v>
      </c>
      <c r="B78" s="7">
        <v>45360</v>
      </c>
      <c r="C78" s="6" t="s">
        <v>52</v>
      </c>
      <c r="D78" s="6" t="s">
        <v>74</v>
      </c>
      <c r="E78" s="6" t="s">
        <v>75</v>
      </c>
      <c r="F78" s="6" t="s">
        <v>102</v>
      </c>
      <c r="G78" s="6">
        <v>6</v>
      </c>
      <c r="H78" s="8">
        <v>8.6300000000000008</v>
      </c>
      <c r="I78" s="8">
        <v>51.78</v>
      </c>
      <c r="J78" s="6" t="s">
        <v>210</v>
      </c>
      <c r="K78" s="6" t="s">
        <v>61</v>
      </c>
      <c r="L78" t="str" cm="1">
        <f t="array" ref="L78">_xlfn.IFS(G78&gt;6,"Duże zamówienie",G78&lt;=6,"Standardowe")</f>
        <v>Standardowe</v>
      </c>
      <c r="M78" t="str" cm="1">
        <f t="array" ref="M78">_xlfn.IFS(AND(C78="Warszawa",G78&gt;5),"Wysoki",OR(C78="Warszawa",C78="Kraków"),"Średni",TRUE,"Niski")</f>
        <v>Wysoki</v>
      </c>
      <c r="N78" t="str">
        <f>_xlfn.XLOOKUP(F78,Produkty!$A$2:$A$15,Produkty!$B$2:$B$15,"Brak w katalogu")</f>
        <v>Espresso</v>
      </c>
      <c r="O78" t="str">
        <f>_xlfn.XLOOKUP(N78,Produkty!$B$2:$B$15,Produkty!$C$2:$C$15,"Brak w katalogu")</f>
        <v>Napoje gorące</v>
      </c>
      <c r="P78" s="15">
        <f>_xlfn.XLOOKUP(Dane!F78,Produkty!$A$2:$A$15,Produkty!$D$2:$D$15)</f>
        <v>9</v>
      </c>
      <c r="Q78" s="15">
        <f t="shared" si="8"/>
        <v>0.36999999999999922</v>
      </c>
      <c r="R78" t="str">
        <f t="shared" si="9"/>
        <v>Pawel Mazur</v>
      </c>
      <c r="S78" t="str">
        <f t="shared" si="10"/>
        <v>kawiarnia.pl</v>
      </c>
      <c r="T78" t="str">
        <f t="shared" si="11"/>
        <v>P.M.</v>
      </c>
      <c r="U78" t="str">
        <f t="shared" si="12"/>
        <v>Warszawa-K001</v>
      </c>
      <c r="V78" t="str">
        <f t="shared" si="15"/>
        <v>09-03-2024</v>
      </c>
      <c r="W78" t="str">
        <f t="shared" si="13"/>
        <v>w realizacji</v>
      </c>
      <c r="X78" s="22">
        <f t="shared" si="14"/>
        <v>4.1111111111111022E-2</v>
      </c>
    </row>
    <row r="79" spans="1:24" x14ac:dyDescent="0.25">
      <c r="A79" s="6" t="s">
        <v>211</v>
      </c>
      <c r="B79" s="7">
        <v>45595</v>
      </c>
      <c r="C79" s="6" t="s">
        <v>52</v>
      </c>
      <c r="D79" s="6" t="s">
        <v>74</v>
      </c>
      <c r="E79" s="6" t="s">
        <v>139</v>
      </c>
      <c r="F79" s="6" t="s">
        <v>63</v>
      </c>
      <c r="G79" s="6">
        <v>3</v>
      </c>
      <c r="H79" s="8">
        <v>14</v>
      </c>
      <c r="I79" s="8">
        <v>42</v>
      </c>
      <c r="J79" s="6" t="s">
        <v>212</v>
      </c>
      <c r="K79" s="6" t="s">
        <v>43</v>
      </c>
      <c r="L79" t="str" cm="1">
        <f t="array" ref="L79">_xlfn.IFS(G79&gt;6,"Duże zamówienie",G79&lt;=6,"Standardowe")</f>
        <v>Standardowe</v>
      </c>
      <c r="M79" t="str" cm="1">
        <f t="array" ref="M79">_xlfn.IFS(AND(C79="Warszawa",G79&gt;5),"Wysoki",OR(C79="Warszawa",C79="Kraków"),"Średni",TRUE,"Niski")</f>
        <v>Średni</v>
      </c>
      <c r="N79" t="str">
        <f>_xlfn.XLOOKUP(F79,Produkty!$A$2:$A$15,Produkty!$B$2:$B$15,"Brak w katalogu")</f>
        <v>Latte</v>
      </c>
      <c r="O79" t="str">
        <f>_xlfn.XLOOKUP(N79,Produkty!$B$2:$B$15,Produkty!$C$2:$C$15,"Brak w katalogu")</f>
        <v>Napoje gorące</v>
      </c>
      <c r="P79" s="15">
        <f>_xlfn.XLOOKUP(Dane!F79,Produkty!$A$2:$A$15,Produkty!$D$2:$D$15)</f>
        <v>14</v>
      </c>
      <c r="Q79" s="15">
        <f t="shared" si="8"/>
        <v>0</v>
      </c>
      <c r="R79" t="str">
        <f t="shared" si="9"/>
        <v>Pawel Mazur</v>
      </c>
      <c r="S79" t="str">
        <f t="shared" si="10"/>
        <v>kawiarnia.pl</v>
      </c>
      <c r="T79" t="str">
        <f t="shared" si="11"/>
        <v>P.M.</v>
      </c>
      <c r="U79" t="str">
        <f t="shared" si="12"/>
        <v>Warszawa-K003</v>
      </c>
      <c r="V79" t="str">
        <f t="shared" si="15"/>
        <v>30-10-2024</v>
      </c>
      <c r="W79" t="str">
        <f t="shared" si="13"/>
        <v>zakonczone</v>
      </c>
      <c r="X79" s="22">
        <f t="shared" si="14"/>
        <v>0</v>
      </c>
    </row>
    <row r="80" spans="1:24" x14ac:dyDescent="0.25">
      <c r="A80" s="6" t="s">
        <v>213</v>
      </c>
      <c r="B80" s="7">
        <v>45651</v>
      </c>
      <c r="C80" s="6" t="s">
        <v>52</v>
      </c>
      <c r="D80" s="6" t="s">
        <v>74</v>
      </c>
      <c r="E80" s="6" t="s">
        <v>108</v>
      </c>
      <c r="F80" s="6" t="s">
        <v>88</v>
      </c>
      <c r="G80" s="6">
        <v>9</v>
      </c>
      <c r="H80" s="8">
        <v>7.35</v>
      </c>
      <c r="I80" s="8">
        <v>66.150000000000006</v>
      </c>
      <c r="J80" s="6" t="s">
        <v>214</v>
      </c>
      <c r="K80" s="6" t="s">
        <v>78</v>
      </c>
      <c r="L80" t="str" cm="1">
        <f t="array" ref="L80">_xlfn.IFS(G80&gt;6,"Duże zamówienie",G80&lt;=6,"Standardowe")</f>
        <v>Duże zamówienie</v>
      </c>
      <c r="M80" t="str" cm="1">
        <f t="array" ref="M80">_xlfn.IFS(AND(C80="Warszawa",G80&gt;5),"Wysoki",OR(C80="Warszawa",C80="Kraków"),"Średni",TRUE,"Niski")</f>
        <v>Wysoki</v>
      </c>
      <c r="N80" t="str">
        <f>_xlfn.XLOOKUP(F80,Produkty!$A$2:$A$15,Produkty!$B$2:$B$15,"Brak w katalogu")</f>
        <v>Croissant</v>
      </c>
      <c r="O80" t="str">
        <f>_xlfn.XLOOKUP(N80,Produkty!$B$2:$B$15,Produkty!$C$2:$C$15,"Brak w katalogu")</f>
        <v>Wypieki</v>
      </c>
      <c r="P80" s="15">
        <f>_xlfn.XLOOKUP(Dane!F80,Produkty!$A$2:$A$15,Produkty!$D$2:$D$15)</f>
        <v>8</v>
      </c>
      <c r="Q80" s="15">
        <f t="shared" si="8"/>
        <v>0.65000000000000036</v>
      </c>
      <c r="R80" t="str">
        <f t="shared" si="9"/>
        <v>Pawel Mazur</v>
      </c>
      <c r="S80" t="str">
        <f t="shared" si="10"/>
        <v>kawiarnia.pl</v>
      </c>
      <c r="T80" t="str">
        <f t="shared" si="11"/>
        <v>P.M.</v>
      </c>
      <c r="U80" t="str">
        <f t="shared" si="12"/>
        <v>Warszawa-K009</v>
      </c>
      <c r="V80" t="str">
        <f t="shared" si="15"/>
        <v>25-12-2024</v>
      </c>
      <c r="W80" t="str">
        <f t="shared" si="13"/>
        <v>nowe</v>
      </c>
      <c r="X80" s="22">
        <f t="shared" si="14"/>
        <v>8.1250000000000044E-2</v>
      </c>
    </row>
    <row r="81" spans="1:24" x14ac:dyDescent="0.25">
      <c r="A81" s="6" t="s">
        <v>215</v>
      </c>
      <c r="B81" s="7">
        <v>45488</v>
      </c>
      <c r="C81" s="6" t="s">
        <v>52</v>
      </c>
      <c r="D81" s="6" t="s">
        <v>111</v>
      </c>
      <c r="E81" s="6" t="s">
        <v>162</v>
      </c>
      <c r="F81" s="6" t="s">
        <v>34</v>
      </c>
      <c r="G81" s="6">
        <v>8</v>
      </c>
      <c r="H81" s="8">
        <v>10.97</v>
      </c>
      <c r="I81" s="8">
        <v>87.76</v>
      </c>
      <c r="J81" s="6" t="s">
        <v>216</v>
      </c>
      <c r="K81" s="6" t="s">
        <v>43</v>
      </c>
      <c r="L81" t="str" cm="1">
        <f t="array" ref="L81">_xlfn.IFS(G81&gt;6,"Duże zamówienie",G81&lt;=6,"Standardowe")</f>
        <v>Duże zamówienie</v>
      </c>
      <c r="M81" t="str" cm="1">
        <f t="array" ref="M81">_xlfn.IFS(AND(C81="Warszawa",G81&gt;5),"Wysoki",OR(C81="Warszawa",C81="Kraków"),"Średni",TRUE,"Niski")</f>
        <v>Wysoki</v>
      </c>
      <c r="N81" t="str">
        <f>_xlfn.XLOOKUP(F81,Produkty!$A$2:$A$15,Produkty!$B$2:$B$15,"Brak w katalogu")</f>
        <v>Americano</v>
      </c>
      <c r="O81" t="str">
        <f>_xlfn.XLOOKUP(N81,Produkty!$B$2:$B$15,Produkty!$C$2:$C$15,"Brak w katalogu")</f>
        <v>Napoje gorące</v>
      </c>
      <c r="P81" s="15">
        <f>_xlfn.XLOOKUP(Dane!F81,Produkty!$A$2:$A$15,Produkty!$D$2:$D$15)</f>
        <v>11</v>
      </c>
      <c r="Q81" s="15">
        <f t="shared" si="8"/>
        <v>2.9999999999999361E-2</v>
      </c>
      <c r="R81" t="str">
        <f t="shared" si="9"/>
        <v>Julia Jankowska</v>
      </c>
      <c r="S81" t="str">
        <f t="shared" si="10"/>
        <v>kawiarnia.pl</v>
      </c>
      <c r="T81" t="str">
        <f t="shared" si="11"/>
        <v>J.J.</v>
      </c>
      <c r="U81" t="str">
        <f t="shared" si="12"/>
        <v>Warszawa-K004</v>
      </c>
      <c r="V81" t="str">
        <f t="shared" si="15"/>
        <v>15-07-2024</v>
      </c>
      <c r="W81" t="str">
        <f t="shared" si="13"/>
        <v>zakonczone</v>
      </c>
      <c r="X81" s="22">
        <f t="shared" si="14"/>
        <v>2.7272727272726689E-3</v>
      </c>
    </row>
    <row r="82" spans="1:24" x14ac:dyDescent="0.25">
      <c r="A82" s="6" t="s">
        <v>217</v>
      </c>
      <c r="B82" s="7">
        <v>45415</v>
      </c>
      <c r="C82" s="6" t="s">
        <v>38</v>
      </c>
      <c r="D82" s="6" t="s">
        <v>148</v>
      </c>
      <c r="E82" s="6" t="s">
        <v>149</v>
      </c>
      <c r="F82" s="6" t="s">
        <v>76</v>
      </c>
      <c r="G82" s="6">
        <v>2</v>
      </c>
      <c r="H82" s="8">
        <v>22.85</v>
      </c>
      <c r="I82" s="8">
        <v>45.7</v>
      </c>
      <c r="J82" s="6" t="s">
        <v>106</v>
      </c>
      <c r="K82" s="6" t="s">
        <v>61</v>
      </c>
      <c r="L82" t="str" cm="1">
        <f t="array" ref="L82">_xlfn.IFS(G82&gt;6,"Duże zamówienie",G82&lt;=6,"Standardowe")</f>
        <v>Standardowe</v>
      </c>
      <c r="M82" t="str" cm="1">
        <f t="array" ref="M82">_xlfn.IFS(AND(C82="Warszawa",G82&gt;5),"Wysoki",OR(C82="Warszawa",C82="Kraków"),"Średni",TRUE,"Niski")</f>
        <v>Niski</v>
      </c>
      <c r="N82" t="str">
        <f>_xlfn.XLOOKUP(F82,Produkty!$A$2:$A$15,Produkty!$B$2:$B$15,"Brak w katalogu")</f>
        <v>Sałatka Cesar</v>
      </c>
      <c r="O82" t="str">
        <f>_xlfn.XLOOKUP(N82,Produkty!$B$2:$B$15,Produkty!$C$2:$C$15,"Brak w katalogu")</f>
        <v>Przekąski</v>
      </c>
      <c r="P82" s="15">
        <f>_xlfn.XLOOKUP(Dane!F82,Produkty!$A$2:$A$15,Produkty!$D$2:$D$15)</f>
        <v>22</v>
      </c>
      <c r="Q82" s="15">
        <f t="shared" si="8"/>
        <v>-0.85000000000000142</v>
      </c>
      <c r="R82" t="str">
        <f t="shared" si="9"/>
        <v>Michal Nowicki</v>
      </c>
      <c r="S82" t="str">
        <f t="shared" si="10"/>
        <v>kawiarnia.pl</v>
      </c>
      <c r="T82" t="str">
        <f t="shared" si="11"/>
        <v>M.N.</v>
      </c>
      <c r="U82" t="str">
        <f t="shared" si="12"/>
        <v>Gdańsk-K013</v>
      </c>
      <c r="V82" t="str">
        <f t="shared" si="15"/>
        <v>03-05-2024</v>
      </c>
      <c r="W82" t="str">
        <f t="shared" si="13"/>
        <v>w realizacji</v>
      </c>
      <c r="X82" s="22">
        <f t="shared" si="14"/>
        <v>-3.8636363636363698E-2</v>
      </c>
    </row>
    <row r="83" spans="1:24" x14ac:dyDescent="0.25">
      <c r="A83" s="6" t="s">
        <v>218</v>
      </c>
      <c r="B83" s="7">
        <v>45621</v>
      </c>
      <c r="C83" s="6" t="s">
        <v>110</v>
      </c>
      <c r="D83" s="6" t="s">
        <v>148</v>
      </c>
      <c r="E83" s="6" t="s">
        <v>149</v>
      </c>
      <c r="F83" s="6" t="s">
        <v>219</v>
      </c>
      <c r="G83" s="6">
        <v>4</v>
      </c>
      <c r="H83" s="8">
        <v>12.1</v>
      </c>
      <c r="I83" s="8">
        <v>48.4</v>
      </c>
      <c r="J83" s="6" t="s">
        <v>220</v>
      </c>
      <c r="K83" s="6" t="s">
        <v>78</v>
      </c>
      <c r="L83" t="str" cm="1">
        <f t="array" ref="L83">_xlfn.IFS(G83&gt;6,"Duże zamówienie",G83&lt;=6,"Standardowe")</f>
        <v>Standardowe</v>
      </c>
      <c r="M83" t="str" cm="1">
        <f t="array" ref="M83">_xlfn.IFS(AND(C83="Warszawa",G83&gt;5),"Wysoki",OR(C83="Warszawa",C83="Kraków"),"Średni",TRUE,"Niski")</f>
        <v>Niski</v>
      </c>
      <c r="N83" t="str">
        <f>_xlfn.XLOOKUP(F83,Produkty!$A$2:$A$15,Produkty!$B$2:$B$15,"Brak w katalogu")</f>
        <v>Brak w katalogu</v>
      </c>
      <c r="O83" t="str">
        <f>_xlfn.XLOOKUP(N83,Produkty!$B$2:$B$15,Produkty!$C$2:$C$15,"Brak w katalogu")</f>
        <v>Brak w katalogu</v>
      </c>
      <c r="P83" s="15" t="e">
        <f>_xlfn.XLOOKUP(Dane!F83,Produkty!$A$2:$A$15,Produkty!$D$2:$D$15)</f>
        <v>#N/A</v>
      </c>
      <c r="Q83" s="15" t="e">
        <f t="shared" si="8"/>
        <v>#N/A</v>
      </c>
      <c r="R83" t="str">
        <f t="shared" si="9"/>
        <v>Michal Nowicki</v>
      </c>
      <c r="S83" t="str">
        <f t="shared" si="10"/>
        <v>kawiarnia.pl</v>
      </c>
      <c r="T83" t="str">
        <f t="shared" si="11"/>
        <v>M.N.</v>
      </c>
      <c r="U83" t="str">
        <f t="shared" si="12"/>
        <v>Wrocław-K999</v>
      </c>
      <c r="V83" t="str">
        <f t="shared" si="15"/>
        <v>25-11-2024</v>
      </c>
      <c r="W83" t="str">
        <f t="shared" si="13"/>
        <v>nowe</v>
      </c>
      <c r="X83" s="22" t="e">
        <f t="shared" si="14"/>
        <v>#N/A</v>
      </c>
    </row>
    <row r="84" spans="1:24" x14ac:dyDescent="0.25">
      <c r="A84" s="6" t="s">
        <v>221</v>
      </c>
      <c r="B84" s="7">
        <v>45395</v>
      </c>
      <c r="C84" s="6" t="s">
        <v>38</v>
      </c>
      <c r="D84" s="6" t="s">
        <v>53</v>
      </c>
      <c r="E84" s="6" t="s">
        <v>54</v>
      </c>
      <c r="F84" s="6" t="s">
        <v>102</v>
      </c>
      <c r="G84" s="6">
        <v>4</v>
      </c>
      <c r="H84" s="8">
        <v>9.08</v>
      </c>
      <c r="I84" s="8">
        <v>36.32</v>
      </c>
      <c r="J84" s="6" t="s">
        <v>166</v>
      </c>
      <c r="K84" s="6" t="s">
        <v>61</v>
      </c>
      <c r="L84" t="str" cm="1">
        <f t="array" ref="L84">_xlfn.IFS(G84&gt;6,"Duże zamówienie",G84&lt;=6,"Standardowe")</f>
        <v>Standardowe</v>
      </c>
      <c r="M84" t="str" cm="1">
        <f t="array" ref="M84">_xlfn.IFS(AND(C84="Warszawa",G84&gt;5),"Wysoki",OR(C84="Warszawa",C84="Kraków"),"Średni",TRUE,"Niski")</f>
        <v>Niski</v>
      </c>
      <c r="N84" t="str">
        <f>_xlfn.XLOOKUP(F84,Produkty!$A$2:$A$15,Produkty!$B$2:$B$15,"Brak w katalogu")</f>
        <v>Espresso</v>
      </c>
      <c r="O84" t="str">
        <f>_xlfn.XLOOKUP(N84,Produkty!$B$2:$B$15,Produkty!$C$2:$C$15,"Brak w katalogu")</f>
        <v>Napoje gorące</v>
      </c>
      <c r="P84" s="15">
        <f>_xlfn.XLOOKUP(Dane!F84,Produkty!$A$2:$A$15,Produkty!$D$2:$D$15)</f>
        <v>9</v>
      </c>
      <c r="Q84" s="15">
        <f t="shared" si="8"/>
        <v>-8.0000000000000071E-2</v>
      </c>
      <c r="R84" t="str">
        <f t="shared" si="9"/>
        <v>Weronika Duda</v>
      </c>
      <c r="S84" t="str">
        <f t="shared" si="10"/>
        <v>kawiarnia.pl</v>
      </c>
      <c r="T84" t="str">
        <f t="shared" si="11"/>
        <v>W.D.</v>
      </c>
      <c r="U84" t="str">
        <f t="shared" si="12"/>
        <v>Gdańsk-K001</v>
      </c>
      <c r="V84" t="str">
        <f t="shared" si="15"/>
        <v>13-04-2024</v>
      </c>
      <c r="W84" t="str">
        <f t="shared" si="13"/>
        <v>w realizacji</v>
      </c>
      <c r="X84" s="22">
        <f t="shared" si="14"/>
        <v>-8.8888888888888976E-3</v>
      </c>
    </row>
    <row r="85" spans="1:24" x14ac:dyDescent="0.25">
      <c r="A85" s="6" t="s">
        <v>222</v>
      </c>
      <c r="B85" s="7">
        <v>45371</v>
      </c>
      <c r="C85" s="6" t="s">
        <v>31</v>
      </c>
      <c r="D85" s="6" t="s">
        <v>46</v>
      </c>
      <c r="E85" s="6" t="s">
        <v>83</v>
      </c>
      <c r="F85" s="6" t="s">
        <v>76</v>
      </c>
      <c r="G85" s="6">
        <v>9</v>
      </c>
      <c r="H85" s="8">
        <v>21.31</v>
      </c>
      <c r="I85" s="8">
        <v>191.79</v>
      </c>
      <c r="J85" s="6" t="s">
        <v>166</v>
      </c>
      <c r="K85" s="6" t="s">
        <v>65</v>
      </c>
      <c r="L85" t="str" cm="1">
        <f t="array" ref="L85">_xlfn.IFS(G85&gt;6,"Duże zamówienie",G85&lt;=6,"Standardowe")</f>
        <v>Duże zamówienie</v>
      </c>
      <c r="M85" t="str" cm="1">
        <f t="array" ref="M85">_xlfn.IFS(AND(C85="Warszawa",G85&gt;5),"Wysoki",OR(C85="Warszawa",C85="Kraków"),"Średni",TRUE,"Niski")</f>
        <v>Niski</v>
      </c>
      <c r="N85" t="str">
        <f>_xlfn.XLOOKUP(F85,Produkty!$A$2:$A$15,Produkty!$B$2:$B$15,"Brak w katalogu")</f>
        <v>Sałatka Cesar</v>
      </c>
      <c r="O85" t="str">
        <f>_xlfn.XLOOKUP(N85,Produkty!$B$2:$B$15,Produkty!$C$2:$C$15,"Brak w katalogu")</f>
        <v>Przekąski</v>
      </c>
      <c r="P85" s="15">
        <f>_xlfn.XLOOKUP(Dane!F85,Produkty!$A$2:$A$15,Produkty!$D$2:$D$15)</f>
        <v>22</v>
      </c>
      <c r="Q85" s="15">
        <f t="shared" si="8"/>
        <v>0.69000000000000128</v>
      </c>
      <c r="R85" t="str">
        <f t="shared" si="9"/>
        <v>Bartosz Zajac</v>
      </c>
      <c r="S85" t="str">
        <f t="shared" si="10"/>
        <v>kawiarnia.pl</v>
      </c>
      <c r="T85" t="str">
        <f t="shared" si="11"/>
        <v>B.Z.</v>
      </c>
      <c r="U85" t="str">
        <f t="shared" si="12"/>
        <v>Poznań-K013</v>
      </c>
      <c r="V85" t="str">
        <f t="shared" si="15"/>
        <v>20-03-2024</v>
      </c>
      <c r="W85" t="str">
        <f t="shared" si="13"/>
        <v>nowe</v>
      </c>
      <c r="X85" s="22">
        <f t="shared" si="14"/>
        <v>3.136363636363642E-2</v>
      </c>
    </row>
    <row r="86" spans="1:24" x14ac:dyDescent="0.25">
      <c r="A86" s="6" t="s">
        <v>223</v>
      </c>
      <c r="B86" s="7">
        <v>45308</v>
      </c>
      <c r="C86" s="6" t="s">
        <v>110</v>
      </c>
      <c r="D86" s="6" t="s">
        <v>148</v>
      </c>
      <c r="E86" s="6" t="s">
        <v>177</v>
      </c>
      <c r="F86" s="6" t="s">
        <v>219</v>
      </c>
      <c r="G86" s="6">
        <v>4</v>
      </c>
      <c r="H86" s="8">
        <v>11.83</v>
      </c>
      <c r="I86" s="8">
        <v>47.32</v>
      </c>
      <c r="J86" s="6" t="s">
        <v>224</v>
      </c>
      <c r="K86" s="6" t="s">
        <v>78</v>
      </c>
      <c r="L86" t="str" cm="1">
        <f t="array" ref="L86">_xlfn.IFS(G86&gt;6,"Duże zamówienie",G86&lt;=6,"Standardowe")</f>
        <v>Standardowe</v>
      </c>
      <c r="M86" t="str" cm="1">
        <f t="array" ref="M86">_xlfn.IFS(AND(C86="Warszawa",G86&gt;5),"Wysoki",OR(C86="Warszawa",C86="Kraków"),"Średni",TRUE,"Niski")</f>
        <v>Niski</v>
      </c>
      <c r="N86" t="str">
        <f>_xlfn.XLOOKUP(F86,Produkty!$A$2:$A$15,Produkty!$B$2:$B$15,"Brak w katalogu")</f>
        <v>Brak w katalogu</v>
      </c>
      <c r="O86" t="str">
        <f>_xlfn.XLOOKUP(N86,Produkty!$B$2:$B$15,Produkty!$C$2:$C$15,"Brak w katalogu")</f>
        <v>Brak w katalogu</v>
      </c>
      <c r="P86" s="15" t="e">
        <f>_xlfn.XLOOKUP(Dane!F86,Produkty!$A$2:$A$15,Produkty!$D$2:$D$15)</f>
        <v>#N/A</v>
      </c>
      <c r="Q86" s="15" t="e">
        <f t="shared" si="8"/>
        <v>#N/A</v>
      </c>
      <c r="R86" t="str">
        <f t="shared" si="9"/>
        <v>Michal Nowicki</v>
      </c>
      <c r="S86" t="str">
        <f t="shared" si="10"/>
        <v>kawiarnia.pl</v>
      </c>
      <c r="T86" t="str">
        <f t="shared" si="11"/>
        <v>M.N.</v>
      </c>
      <c r="U86" t="str">
        <f t="shared" si="12"/>
        <v>Wrocław-K999</v>
      </c>
      <c r="V86" t="str">
        <f t="shared" si="15"/>
        <v>17-01-2024</v>
      </c>
      <c r="W86" t="str">
        <f t="shared" si="13"/>
        <v>nowe</v>
      </c>
      <c r="X86" s="22" t="e">
        <f t="shared" si="14"/>
        <v>#N/A</v>
      </c>
    </row>
    <row r="87" spans="1:24" x14ac:dyDescent="0.25">
      <c r="A87" s="6" t="s">
        <v>225</v>
      </c>
      <c r="B87" s="7">
        <v>45361</v>
      </c>
      <c r="C87" s="6" t="s">
        <v>110</v>
      </c>
      <c r="D87" s="6" t="s">
        <v>111</v>
      </c>
      <c r="E87" s="6" t="s">
        <v>112</v>
      </c>
      <c r="F87" s="6" t="s">
        <v>113</v>
      </c>
      <c r="G87" s="6">
        <v>1</v>
      </c>
      <c r="H87" s="8">
        <v>17.309999999999999</v>
      </c>
      <c r="I87" s="8">
        <v>17.309999999999999</v>
      </c>
      <c r="J87" s="6" t="s">
        <v>226</v>
      </c>
      <c r="K87" s="6" t="s">
        <v>43</v>
      </c>
      <c r="L87" t="str" cm="1">
        <f t="array" ref="L87">_xlfn.IFS(G87&gt;6,"Duże zamówienie",G87&lt;=6,"Standardowe")</f>
        <v>Standardowe</v>
      </c>
      <c r="M87" t="str" cm="1">
        <f t="array" ref="M87">_xlfn.IFS(AND(C87="Warszawa",G87&gt;5),"Wysoki",OR(C87="Warszawa",C87="Kraków"),"Średni",TRUE,"Niski")</f>
        <v>Niski</v>
      </c>
      <c r="N87" t="str">
        <f>_xlfn.XLOOKUP(F87,Produkty!$A$2:$A$15,Produkty!$B$2:$B$15,"Brak w katalogu")</f>
        <v>Bagietka z szynką</v>
      </c>
      <c r="O87" t="str">
        <f>_xlfn.XLOOKUP(N87,Produkty!$B$2:$B$15,Produkty!$C$2:$C$15,"Brak w katalogu")</f>
        <v>Przekąski</v>
      </c>
      <c r="P87" s="15">
        <f>_xlfn.XLOOKUP(Dane!F87,Produkty!$A$2:$A$15,Produkty!$D$2:$D$15)</f>
        <v>17</v>
      </c>
      <c r="Q87" s="15">
        <f t="shared" si="8"/>
        <v>-0.30999999999999872</v>
      </c>
      <c r="R87" t="str">
        <f t="shared" si="9"/>
        <v>Julia Jankowska</v>
      </c>
      <c r="S87" t="str">
        <f t="shared" si="10"/>
        <v>kawiarnia.pl</v>
      </c>
      <c r="T87" t="str">
        <f t="shared" si="11"/>
        <v>J.J.</v>
      </c>
      <c r="U87" t="str">
        <f t="shared" si="12"/>
        <v>Wrocław-K012</v>
      </c>
      <c r="V87" t="str">
        <f t="shared" si="15"/>
        <v>10-03-2024</v>
      </c>
      <c r="W87" t="str">
        <f t="shared" si="13"/>
        <v>zakonczone</v>
      </c>
      <c r="X87" s="22">
        <f t="shared" si="14"/>
        <v>-1.8235294117646985E-2</v>
      </c>
    </row>
    <row r="88" spans="1:24" x14ac:dyDescent="0.25">
      <c r="A88" s="6" t="s">
        <v>227</v>
      </c>
      <c r="B88" s="7">
        <v>45566</v>
      </c>
      <c r="C88" s="6" t="s">
        <v>45</v>
      </c>
      <c r="D88" s="6" t="s">
        <v>70</v>
      </c>
      <c r="E88" s="6" t="s">
        <v>228</v>
      </c>
      <c r="F88" s="6" t="s">
        <v>88</v>
      </c>
      <c r="G88" s="6">
        <v>5</v>
      </c>
      <c r="H88" s="8">
        <v>7.77</v>
      </c>
      <c r="I88" s="8">
        <v>38.85</v>
      </c>
      <c r="J88" s="6" t="s">
        <v>229</v>
      </c>
      <c r="K88" s="6" t="s">
        <v>78</v>
      </c>
      <c r="L88" t="str" cm="1">
        <f t="array" ref="L88">_xlfn.IFS(G88&gt;6,"Duże zamówienie",G88&lt;=6,"Standardowe")</f>
        <v>Standardowe</v>
      </c>
      <c r="M88" t="str" cm="1">
        <f t="array" ref="M88">_xlfn.IFS(AND(C88="Warszawa",G88&gt;5),"Wysoki",OR(C88="Warszawa",C88="Kraków"),"Średni",TRUE,"Niski")</f>
        <v>Średni</v>
      </c>
      <c r="N88" t="str">
        <f>_xlfn.XLOOKUP(F88,Produkty!$A$2:$A$15,Produkty!$B$2:$B$15,"Brak w katalogu")</f>
        <v>Croissant</v>
      </c>
      <c r="O88" t="str">
        <f>_xlfn.XLOOKUP(N88,Produkty!$B$2:$B$15,Produkty!$C$2:$C$15,"Brak w katalogu")</f>
        <v>Wypieki</v>
      </c>
      <c r="P88" s="15">
        <f>_xlfn.XLOOKUP(Dane!F88,Produkty!$A$2:$A$15,Produkty!$D$2:$D$15)</f>
        <v>8</v>
      </c>
      <c r="Q88" s="15">
        <f t="shared" si="8"/>
        <v>0.23000000000000043</v>
      </c>
      <c r="R88" t="str">
        <f t="shared" si="9"/>
        <v>Kamil Wozniak</v>
      </c>
      <c r="S88" t="str">
        <f t="shared" si="10"/>
        <v>kawiarnia.pl</v>
      </c>
      <c r="T88" t="str">
        <f t="shared" si="11"/>
        <v>K.W.</v>
      </c>
      <c r="U88" t="str">
        <f t="shared" si="12"/>
        <v>Kraków-K009</v>
      </c>
      <c r="V88" t="str">
        <f t="shared" si="15"/>
        <v>01-10-2024</v>
      </c>
      <c r="W88" t="str">
        <f t="shared" si="13"/>
        <v>nowe</v>
      </c>
      <c r="X88" s="22">
        <f t="shared" si="14"/>
        <v>2.8750000000000053E-2</v>
      </c>
    </row>
    <row r="89" spans="1:24" x14ac:dyDescent="0.25">
      <c r="A89" s="6" t="s">
        <v>230</v>
      </c>
      <c r="B89" s="7">
        <v>45654</v>
      </c>
      <c r="C89" s="6" t="s">
        <v>31</v>
      </c>
      <c r="D89" s="6" t="s">
        <v>74</v>
      </c>
      <c r="E89" s="6" t="s">
        <v>75</v>
      </c>
      <c r="F89" s="6" t="s">
        <v>102</v>
      </c>
      <c r="G89" s="6">
        <v>9</v>
      </c>
      <c r="H89" s="8">
        <v>8.33</v>
      </c>
      <c r="I89" s="8">
        <v>74.97</v>
      </c>
      <c r="J89" s="6" t="s">
        <v>160</v>
      </c>
      <c r="K89" s="6" t="s">
        <v>36</v>
      </c>
      <c r="L89" t="str" cm="1">
        <f t="array" ref="L89">_xlfn.IFS(G89&gt;6,"Duże zamówienie",G89&lt;=6,"Standardowe")</f>
        <v>Duże zamówienie</v>
      </c>
      <c r="M89" t="str" cm="1">
        <f t="array" ref="M89">_xlfn.IFS(AND(C89="Warszawa",G89&gt;5),"Wysoki",OR(C89="Warszawa",C89="Kraków"),"Średni",TRUE,"Niski")</f>
        <v>Niski</v>
      </c>
      <c r="N89" t="str">
        <f>_xlfn.XLOOKUP(F89,Produkty!$A$2:$A$15,Produkty!$B$2:$B$15,"Brak w katalogu")</f>
        <v>Espresso</v>
      </c>
      <c r="O89" t="str">
        <f>_xlfn.XLOOKUP(N89,Produkty!$B$2:$B$15,Produkty!$C$2:$C$15,"Brak w katalogu")</f>
        <v>Napoje gorące</v>
      </c>
      <c r="P89" s="15">
        <f>_xlfn.XLOOKUP(Dane!F89,Produkty!$A$2:$A$15,Produkty!$D$2:$D$15)</f>
        <v>9</v>
      </c>
      <c r="Q89" s="15">
        <f t="shared" si="8"/>
        <v>0.66999999999999993</v>
      </c>
      <c r="R89" t="str">
        <f t="shared" si="9"/>
        <v>Pawel Mazur</v>
      </c>
      <c r="S89" t="str">
        <f t="shared" si="10"/>
        <v>kawiarnia.pl</v>
      </c>
      <c r="T89" t="str">
        <f t="shared" si="11"/>
        <v>P.M.</v>
      </c>
      <c r="U89" t="str">
        <f t="shared" si="12"/>
        <v>Poznań-K001</v>
      </c>
      <c r="V89" t="str">
        <f t="shared" si="15"/>
        <v>28-12-2024</v>
      </c>
      <c r="W89" t="str">
        <f t="shared" si="13"/>
        <v>w realizacji</v>
      </c>
      <c r="X89" s="22">
        <f t="shared" si="14"/>
        <v>7.4444444444444438E-2</v>
      </c>
    </row>
    <row r="90" spans="1:24" x14ac:dyDescent="0.25">
      <c r="A90" s="6" t="s">
        <v>231</v>
      </c>
      <c r="B90" s="7">
        <v>45420</v>
      </c>
      <c r="C90" s="6" t="s">
        <v>45</v>
      </c>
      <c r="D90" s="6" t="s">
        <v>46</v>
      </c>
      <c r="E90" s="6" t="s">
        <v>80</v>
      </c>
      <c r="F90" s="6" t="s">
        <v>113</v>
      </c>
      <c r="G90" s="6">
        <v>1</v>
      </c>
      <c r="H90" s="8">
        <v>15.71</v>
      </c>
      <c r="I90" s="8">
        <v>15.71</v>
      </c>
      <c r="J90" s="6" t="s">
        <v>232</v>
      </c>
      <c r="K90" s="6" t="s">
        <v>43</v>
      </c>
      <c r="L90" t="str" cm="1">
        <f t="array" ref="L90">_xlfn.IFS(G90&gt;6,"Duże zamówienie",G90&lt;=6,"Standardowe")</f>
        <v>Standardowe</v>
      </c>
      <c r="M90" t="str" cm="1">
        <f t="array" ref="M90">_xlfn.IFS(AND(C90="Warszawa",G90&gt;5),"Wysoki",OR(C90="Warszawa",C90="Kraków"),"Średni",TRUE,"Niski")</f>
        <v>Średni</v>
      </c>
      <c r="N90" t="str">
        <f>_xlfn.XLOOKUP(F90,Produkty!$A$2:$A$15,Produkty!$B$2:$B$15,"Brak w katalogu")</f>
        <v>Bagietka z szynką</v>
      </c>
      <c r="O90" t="str">
        <f>_xlfn.XLOOKUP(N90,Produkty!$B$2:$B$15,Produkty!$C$2:$C$15,"Brak w katalogu")</f>
        <v>Przekąski</v>
      </c>
      <c r="P90" s="15">
        <f>_xlfn.XLOOKUP(Dane!F90,Produkty!$A$2:$A$15,Produkty!$D$2:$D$15)</f>
        <v>17</v>
      </c>
      <c r="Q90" s="15">
        <f t="shared" si="8"/>
        <v>1.2899999999999991</v>
      </c>
      <c r="R90" t="str">
        <f t="shared" si="9"/>
        <v>Bartosz Zajac</v>
      </c>
      <c r="S90" t="str">
        <f t="shared" si="10"/>
        <v>kawiarnia.pl</v>
      </c>
      <c r="T90" t="str">
        <f t="shared" si="11"/>
        <v>B.Z.</v>
      </c>
      <c r="U90" t="str">
        <f t="shared" si="12"/>
        <v>Kraków-K012</v>
      </c>
      <c r="V90" t="str">
        <f t="shared" si="15"/>
        <v>08-05-2024</v>
      </c>
      <c r="W90" t="str">
        <f t="shared" si="13"/>
        <v>zakonczone</v>
      </c>
      <c r="X90" s="22">
        <f t="shared" si="14"/>
        <v>7.5882352941176415E-2</v>
      </c>
    </row>
    <row r="91" spans="1:24" x14ac:dyDescent="0.25">
      <c r="A91" s="6" t="s">
        <v>233</v>
      </c>
      <c r="B91" s="7">
        <v>45422</v>
      </c>
      <c r="C91" s="6" t="s">
        <v>110</v>
      </c>
      <c r="D91" s="6" t="s">
        <v>70</v>
      </c>
      <c r="E91" s="6" t="s">
        <v>71</v>
      </c>
      <c r="F91" s="6" t="s">
        <v>55</v>
      </c>
      <c r="G91" s="6">
        <v>6</v>
      </c>
      <c r="H91" s="8">
        <v>10.17</v>
      </c>
      <c r="I91" s="8">
        <v>61.02</v>
      </c>
      <c r="J91" s="6" t="s">
        <v>195</v>
      </c>
      <c r="K91" s="6" t="s">
        <v>61</v>
      </c>
      <c r="L91" t="str" cm="1">
        <f t="array" ref="L91">_xlfn.IFS(G91&gt;6,"Duże zamówienie",G91&lt;=6,"Standardowe")</f>
        <v>Standardowe</v>
      </c>
      <c r="M91" t="str" cm="1">
        <f t="array" ref="M91">_xlfn.IFS(AND(C91="Warszawa",G91&gt;5),"Wysoki",OR(C91="Warszawa",C91="Kraków"),"Średni",TRUE,"Niski")</f>
        <v>Niski</v>
      </c>
      <c r="N91" t="str">
        <f>_xlfn.XLOOKUP(F91,Produkty!$A$2:$A$15,Produkty!$B$2:$B$15,"Brak w katalogu")</f>
        <v>Herbata liściasta</v>
      </c>
      <c r="O91" t="str">
        <f>_xlfn.XLOOKUP(N91,Produkty!$B$2:$B$15,Produkty!$C$2:$C$15,"Brak w katalogu")</f>
        <v>Napoje gorące</v>
      </c>
      <c r="P91" s="15">
        <f>_xlfn.XLOOKUP(Dane!F91,Produkty!$A$2:$A$15,Produkty!$D$2:$D$15)</f>
        <v>10</v>
      </c>
      <c r="Q91" s="15">
        <f t="shared" si="8"/>
        <v>-0.16999999999999993</v>
      </c>
      <c r="R91" t="str">
        <f t="shared" si="9"/>
        <v>Kamil Wozniak</v>
      </c>
      <c r="S91" t="str">
        <f t="shared" si="10"/>
        <v>kawiarnia.pl</v>
      </c>
      <c r="T91" t="str">
        <f t="shared" si="11"/>
        <v>K.W.</v>
      </c>
      <c r="U91" t="str">
        <f t="shared" si="12"/>
        <v>Wrocław-K005</v>
      </c>
      <c r="V91" t="str">
        <f t="shared" si="15"/>
        <v>10-05-2024</v>
      </c>
      <c r="W91" t="str">
        <f t="shared" si="13"/>
        <v>w realizacji</v>
      </c>
      <c r="X91" s="22">
        <f t="shared" si="14"/>
        <v>-1.6999999999999994E-2</v>
      </c>
    </row>
    <row r="92" spans="1:24" x14ac:dyDescent="0.25">
      <c r="A92" s="6" t="s">
        <v>234</v>
      </c>
      <c r="B92" s="7">
        <v>45572</v>
      </c>
      <c r="C92" s="6" t="s">
        <v>31</v>
      </c>
      <c r="D92" s="6" t="s">
        <v>53</v>
      </c>
      <c r="E92" s="6" t="s">
        <v>54</v>
      </c>
      <c r="F92" s="6" t="s">
        <v>153</v>
      </c>
      <c r="G92" s="6">
        <v>11</v>
      </c>
      <c r="H92" s="8">
        <v>17.059999999999999</v>
      </c>
      <c r="I92" s="8">
        <v>187.66</v>
      </c>
      <c r="J92" s="6" t="s">
        <v>235</v>
      </c>
      <c r="K92" s="6" t="s">
        <v>61</v>
      </c>
      <c r="L92" t="str" cm="1">
        <f t="array" ref="L92">_xlfn.IFS(G92&gt;6,"Duże zamówienie",G92&lt;=6,"Standardowe")</f>
        <v>Duże zamówienie</v>
      </c>
      <c r="M92" t="str" cm="1">
        <f t="array" ref="M92">_xlfn.IFS(AND(C92="Warszawa",G92&gt;5),"Wysoki",OR(C92="Warszawa",C92="Kraków"),"Średni",TRUE,"Niski")</f>
        <v>Niski</v>
      </c>
      <c r="N92" t="str">
        <f>_xlfn.XLOOKUP(F92,Produkty!$A$2:$A$15,Produkty!$B$2:$B$15,"Brak w katalogu")</f>
        <v>Smoothie owocowe</v>
      </c>
      <c r="O92" t="str">
        <f>_xlfn.XLOOKUP(N92,Produkty!$B$2:$B$15,Produkty!$C$2:$C$15,"Brak w katalogu")</f>
        <v>Napoje zimne</v>
      </c>
      <c r="P92" s="15">
        <f>_xlfn.XLOOKUP(Dane!F92,Produkty!$A$2:$A$15,Produkty!$D$2:$D$15)</f>
        <v>18</v>
      </c>
      <c r="Q92" s="15">
        <f t="shared" si="8"/>
        <v>0.94000000000000128</v>
      </c>
      <c r="R92" t="str">
        <f t="shared" si="9"/>
        <v>Weronika Duda</v>
      </c>
      <c r="S92" t="str">
        <f t="shared" si="10"/>
        <v>kawiarnia.pl</v>
      </c>
      <c r="T92" t="str">
        <f t="shared" si="11"/>
        <v>W.D.</v>
      </c>
      <c r="U92" t="str">
        <f t="shared" si="12"/>
        <v>Poznań-K008</v>
      </c>
      <c r="V92" t="str">
        <f t="shared" si="15"/>
        <v>07-10-2024</v>
      </c>
      <c r="W92" t="str">
        <f t="shared" si="13"/>
        <v>w realizacji</v>
      </c>
      <c r="X92" s="22">
        <f t="shared" si="14"/>
        <v>5.2222222222222295E-2</v>
      </c>
    </row>
    <row r="93" spans="1:24" x14ac:dyDescent="0.25">
      <c r="A93" s="6" t="s">
        <v>236</v>
      </c>
      <c r="B93" s="7">
        <v>45459</v>
      </c>
      <c r="C93" s="6" t="s">
        <v>38</v>
      </c>
      <c r="D93" s="6" t="s">
        <v>46</v>
      </c>
      <c r="E93" s="6" t="s">
        <v>80</v>
      </c>
      <c r="F93" s="6" t="s">
        <v>88</v>
      </c>
      <c r="G93" s="6">
        <v>7</v>
      </c>
      <c r="H93" s="8">
        <v>7.87</v>
      </c>
      <c r="I93" s="8">
        <v>55.09</v>
      </c>
      <c r="J93" s="6" t="s">
        <v>210</v>
      </c>
      <c r="K93" s="6" t="s">
        <v>61</v>
      </c>
      <c r="L93" t="str" cm="1">
        <f t="array" ref="L93">_xlfn.IFS(G93&gt;6,"Duże zamówienie",G93&lt;=6,"Standardowe")</f>
        <v>Duże zamówienie</v>
      </c>
      <c r="M93" t="str" cm="1">
        <f t="array" ref="M93">_xlfn.IFS(AND(C93="Warszawa",G93&gt;5),"Wysoki",OR(C93="Warszawa",C93="Kraków"),"Średni",TRUE,"Niski")</f>
        <v>Niski</v>
      </c>
      <c r="N93" t="str">
        <f>_xlfn.XLOOKUP(F93,Produkty!$A$2:$A$15,Produkty!$B$2:$B$15,"Brak w katalogu")</f>
        <v>Croissant</v>
      </c>
      <c r="O93" t="str">
        <f>_xlfn.XLOOKUP(N93,Produkty!$B$2:$B$15,Produkty!$C$2:$C$15,"Brak w katalogu")</f>
        <v>Wypieki</v>
      </c>
      <c r="P93" s="15">
        <f>_xlfn.XLOOKUP(Dane!F93,Produkty!$A$2:$A$15,Produkty!$D$2:$D$15)</f>
        <v>8</v>
      </c>
      <c r="Q93" s="15">
        <f t="shared" si="8"/>
        <v>0.12999999999999989</v>
      </c>
      <c r="R93" t="str">
        <f t="shared" si="9"/>
        <v>Bartosz Zajac</v>
      </c>
      <c r="S93" t="str">
        <f t="shared" si="10"/>
        <v>kawiarnia.pl</v>
      </c>
      <c r="T93" t="str">
        <f t="shared" si="11"/>
        <v>B.Z.</v>
      </c>
      <c r="U93" t="str">
        <f t="shared" si="12"/>
        <v>Gdańsk-K009</v>
      </c>
      <c r="V93" t="str">
        <f t="shared" si="15"/>
        <v>16-06-2024</v>
      </c>
      <c r="W93" t="str">
        <f t="shared" si="13"/>
        <v>w realizacji</v>
      </c>
      <c r="X93" s="22">
        <f t="shared" si="14"/>
        <v>1.6249999999999987E-2</v>
      </c>
    </row>
    <row r="94" spans="1:24" x14ac:dyDescent="0.25">
      <c r="A94" s="6" t="s">
        <v>237</v>
      </c>
      <c r="B94" s="7">
        <v>45531</v>
      </c>
      <c r="C94" s="6" t="s">
        <v>45</v>
      </c>
      <c r="D94" s="6" t="s">
        <v>39</v>
      </c>
      <c r="E94" s="6" t="s">
        <v>40</v>
      </c>
      <c r="F94" s="6" t="s">
        <v>84</v>
      </c>
      <c r="G94" s="6">
        <v>7</v>
      </c>
      <c r="H94" s="8">
        <v>15.68</v>
      </c>
      <c r="I94" s="8">
        <v>109.76</v>
      </c>
      <c r="J94" s="6" t="s">
        <v>198</v>
      </c>
      <c r="K94" s="6" t="s">
        <v>61</v>
      </c>
      <c r="L94" t="str" cm="1">
        <f t="array" ref="L94">_xlfn.IFS(G94&gt;6,"Duże zamówienie",G94&lt;=6,"Standardowe")</f>
        <v>Duże zamówienie</v>
      </c>
      <c r="M94" t="str" cm="1">
        <f t="array" ref="M94">_xlfn.IFS(AND(C94="Warszawa",G94&gt;5),"Wysoki",OR(C94="Warszawa",C94="Kraków"),"Średni",TRUE,"Niski")</f>
        <v>Średni</v>
      </c>
      <c r="N94" t="str">
        <f>_xlfn.XLOOKUP(F94,Produkty!$A$2:$A$15,Produkty!$B$2:$B$15,"Brak w katalogu")</f>
        <v>Mrożona kawa</v>
      </c>
      <c r="O94" t="str">
        <f>_xlfn.XLOOKUP(N94,Produkty!$B$2:$B$15,Produkty!$C$2:$C$15,"Brak w katalogu")</f>
        <v>Napoje zimne</v>
      </c>
      <c r="P94" s="15">
        <f>_xlfn.XLOOKUP(Dane!F94,Produkty!$A$2:$A$15,Produkty!$D$2:$D$15)</f>
        <v>16</v>
      </c>
      <c r="Q94" s="15">
        <f t="shared" si="8"/>
        <v>0.32000000000000028</v>
      </c>
      <c r="R94" t="str">
        <f t="shared" si="9"/>
        <v>Aleksandra Kowal</v>
      </c>
      <c r="S94" t="str">
        <f t="shared" si="10"/>
        <v>kawiarnia.pl</v>
      </c>
      <c r="T94" t="str">
        <f t="shared" si="11"/>
        <v>A.K.</v>
      </c>
      <c r="U94" t="str">
        <f t="shared" si="12"/>
        <v>Kraków-K006</v>
      </c>
      <c r="V94" t="str">
        <f t="shared" si="15"/>
        <v>27-08-2024</v>
      </c>
      <c r="W94" t="str">
        <f t="shared" si="13"/>
        <v>w realizacji</v>
      </c>
      <c r="X94" s="22">
        <f t="shared" si="14"/>
        <v>2.0000000000000018E-2</v>
      </c>
    </row>
    <row r="95" spans="1:24" x14ac:dyDescent="0.25">
      <c r="A95" s="6" t="s">
        <v>238</v>
      </c>
      <c r="B95" s="7">
        <v>45652</v>
      </c>
      <c r="C95" s="6" t="s">
        <v>52</v>
      </c>
      <c r="D95" s="6" t="s">
        <v>39</v>
      </c>
      <c r="E95" s="6" t="s">
        <v>192</v>
      </c>
      <c r="F95" s="6" t="s">
        <v>76</v>
      </c>
      <c r="G95" s="6">
        <v>4</v>
      </c>
      <c r="H95" s="8">
        <v>22.42</v>
      </c>
      <c r="I95" s="8">
        <v>89.68</v>
      </c>
      <c r="J95" s="6" t="s">
        <v>239</v>
      </c>
      <c r="K95" s="6" t="s">
        <v>61</v>
      </c>
      <c r="L95" t="str" cm="1">
        <f t="array" ref="L95">_xlfn.IFS(G95&gt;6,"Duże zamówienie",G95&lt;=6,"Standardowe")</f>
        <v>Standardowe</v>
      </c>
      <c r="M95" t="str" cm="1">
        <f t="array" ref="M95">_xlfn.IFS(AND(C95="Warszawa",G95&gt;5),"Wysoki",OR(C95="Warszawa",C95="Kraków"),"Średni",TRUE,"Niski")</f>
        <v>Średni</v>
      </c>
      <c r="N95" t="str">
        <f>_xlfn.XLOOKUP(F95,Produkty!$A$2:$A$15,Produkty!$B$2:$B$15,"Brak w katalogu")</f>
        <v>Sałatka Cesar</v>
      </c>
      <c r="O95" t="str">
        <f>_xlfn.XLOOKUP(N95,Produkty!$B$2:$B$15,Produkty!$C$2:$C$15,"Brak w katalogu")</f>
        <v>Przekąski</v>
      </c>
      <c r="P95" s="15">
        <f>_xlfn.XLOOKUP(Dane!F95,Produkty!$A$2:$A$15,Produkty!$D$2:$D$15)</f>
        <v>22</v>
      </c>
      <c r="Q95" s="15">
        <f t="shared" si="8"/>
        <v>-0.42000000000000171</v>
      </c>
      <c r="R95" t="str">
        <f t="shared" si="9"/>
        <v>Aleksandra Kowal</v>
      </c>
      <c r="S95" t="str">
        <f t="shared" si="10"/>
        <v>kawiarnia.pl</v>
      </c>
      <c r="T95" t="str">
        <f t="shared" si="11"/>
        <v>A.K.</v>
      </c>
      <c r="U95" t="str">
        <f t="shared" si="12"/>
        <v>Warszawa-K013</v>
      </c>
      <c r="V95" t="str">
        <f t="shared" si="15"/>
        <v>26-12-2024</v>
      </c>
      <c r="W95" t="str">
        <f t="shared" si="13"/>
        <v>w realizacji</v>
      </c>
      <c r="X95" s="22">
        <f t="shared" si="14"/>
        <v>-1.9090909090909169E-2</v>
      </c>
    </row>
    <row r="96" spans="1:24" x14ac:dyDescent="0.25">
      <c r="A96" s="6" t="s">
        <v>240</v>
      </c>
      <c r="B96" s="7">
        <v>45417</v>
      </c>
      <c r="C96" s="6" t="s">
        <v>31</v>
      </c>
      <c r="D96" s="6" t="s">
        <v>32</v>
      </c>
      <c r="E96" s="6" t="s">
        <v>90</v>
      </c>
      <c r="F96" s="6" t="s">
        <v>102</v>
      </c>
      <c r="G96" s="6">
        <v>12</v>
      </c>
      <c r="H96" s="8">
        <v>8.18</v>
      </c>
      <c r="I96" s="8">
        <v>98.16</v>
      </c>
      <c r="J96" s="6" t="s">
        <v>235</v>
      </c>
      <c r="K96" s="6" t="s">
        <v>78</v>
      </c>
      <c r="L96" t="str" cm="1">
        <f t="array" ref="L96">_xlfn.IFS(G96&gt;6,"Duże zamówienie",G96&lt;=6,"Standardowe")</f>
        <v>Duże zamówienie</v>
      </c>
      <c r="M96" t="str" cm="1">
        <f t="array" ref="M96">_xlfn.IFS(AND(C96="Warszawa",G96&gt;5),"Wysoki",OR(C96="Warszawa",C96="Kraków"),"Średni",TRUE,"Niski")</f>
        <v>Niski</v>
      </c>
      <c r="N96" t="str">
        <f>_xlfn.XLOOKUP(F96,Produkty!$A$2:$A$15,Produkty!$B$2:$B$15,"Brak w katalogu")</f>
        <v>Espresso</v>
      </c>
      <c r="O96" t="str">
        <f>_xlfn.XLOOKUP(N96,Produkty!$B$2:$B$15,Produkty!$C$2:$C$15,"Brak w katalogu")</f>
        <v>Napoje gorące</v>
      </c>
      <c r="P96" s="15">
        <f>_xlfn.XLOOKUP(Dane!F96,Produkty!$A$2:$A$15,Produkty!$D$2:$D$15)</f>
        <v>9</v>
      </c>
      <c r="Q96" s="15">
        <f t="shared" si="8"/>
        <v>0.82000000000000028</v>
      </c>
      <c r="R96" t="str">
        <f t="shared" si="9"/>
        <v>Natalia Krawczyk</v>
      </c>
      <c r="S96" t="str">
        <f t="shared" si="10"/>
        <v>kawiarnia.pl</v>
      </c>
      <c r="T96" t="str">
        <f t="shared" si="11"/>
        <v>N.K.</v>
      </c>
      <c r="U96" t="str">
        <f t="shared" si="12"/>
        <v>Poznań-K001</v>
      </c>
      <c r="V96" t="str">
        <f t="shared" si="15"/>
        <v>05-05-2024</v>
      </c>
      <c r="W96" t="str">
        <f t="shared" si="13"/>
        <v>nowe</v>
      </c>
      <c r="X96" s="22">
        <f t="shared" si="14"/>
        <v>9.1111111111111143E-2</v>
      </c>
    </row>
    <row r="97" spans="1:24" x14ac:dyDescent="0.25">
      <c r="A97" s="6" t="s">
        <v>241</v>
      </c>
      <c r="B97" s="7">
        <v>45486</v>
      </c>
      <c r="C97" s="6" t="s">
        <v>45</v>
      </c>
      <c r="D97" s="6" t="s">
        <v>74</v>
      </c>
      <c r="E97" s="6" t="s">
        <v>139</v>
      </c>
      <c r="F97" s="6" t="s">
        <v>102</v>
      </c>
      <c r="G97" s="6">
        <v>3</v>
      </c>
      <c r="H97" s="8">
        <v>8.98</v>
      </c>
      <c r="I97" s="8">
        <v>26.94</v>
      </c>
      <c r="J97" s="6" t="s">
        <v>185</v>
      </c>
      <c r="K97" s="6" t="s">
        <v>78</v>
      </c>
      <c r="L97" t="str" cm="1">
        <f t="array" ref="L97">_xlfn.IFS(G97&gt;6,"Duże zamówienie",G97&lt;=6,"Standardowe")</f>
        <v>Standardowe</v>
      </c>
      <c r="M97" t="str" cm="1">
        <f t="array" ref="M97">_xlfn.IFS(AND(C97="Warszawa",G97&gt;5),"Wysoki",OR(C97="Warszawa",C97="Kraków"),"Średni",TRUE,"Niski")</f>
        <v>Średni</v>
      </c>
      <c r="N97" t="str">
        <f>_xlfn.XLOOKUP(F97,Produkty!$A$2:$A$15,Produkty!$B$2:$B$15,"Brak w katalogu")</f>
        <v>Espresso</v>
      </c>
      <c r="O97" t="str">
        <f>_xlfn.XLOOKUP(N97,Produkty!$B$2:$B$15,Produkty!$C$2:$C$15,"Brak w katalogu")</f>
        <v>Napoje gorące</v>
      </c>
      <c r="P97" s="15">
        <f>_xlfn.XLOOKUP(Dane!F97,Produkty!$A$2:$A$15,Produkty!$D$2:$D$15)</f>
        <v>9</v>
      </c>
      <c r="Q97" s="15">
        <f t="shared" si="8"/>
        <v>1.9999999999999574E-2</v>
      </c>
      <c r="R97" t="str">
        <f t="shared" si="9"/>
        <v>Pawel Mazur</v>
      </c>
      <c r="S97" t="str">
        <f t="shared" si="10"/>
        <v>kawiarnia.pl</v>
      </c>
      <c r="T97" t="str">
        <f t="shared" si="11"/>
        <v>P.M.</v>
      </c>
      <c r="U97" t="str">
        <f t="shared" si="12"/>
        <v>Kraków-K001</v>
      </c>
      <c r="V97" t="str">
        <f t="shared" si="15"/>
        <v>13-07-2024</v>
      </c>
      <c r="W97" t="str">
        <f t="shared" si="13"/>
        <v>nowe</v>
      </c>
      <c r="X97" s="22">
        <f t="shared" si="14"/>
        <v>2.2222222222221749E-3</v>
      </c>
    </row>
    <row r="98" spans="1:24" x14ac:dyDescent="0.25">
      <c r="A98" s="6" t="s">
        <v>242</v>
      </c>
      <c r="B98" s="7">
        <v>45597</v>
      </c>
      <c r="C98" s="6" t="s">
        <v>31</v>
      </c>
      <c r="D98" s="6" t="s">
        <v>111</v>
      </c>
      <c r="E98" s="6" t="s">
        <v>121</v>
      </c>
      <c r="F98" s="6" t="s">
        <v>63</v>
      </c>
      <c r="G98" s="6">
        <v>10</v>
      </c>
      <c r="H98" s="8">
        <v>14.54</v>
      </c>
      <c r="I98" s="8">
        <v>145.4</v>
      </c>
      <c r="J98" s="6" t="s">
        <v>243</v>
      </c>
      <c r="K98" s="6" t="s">
        <v>50</v>
      </c>
      <c r="L98" t="str" cm="1">
        <f t="array" ref="L98">_xlfn.IFS(G98&gt;6,"Duże zamówienie",G98&lt;=6,"Standardowe")</f>
        <v>Duże zamówienie</v>
      </c>
      <c r="M98" t="str" cm="1">
        <f t="array" ref="M98">_xlfn.IFS(AND(C98="Warszawa",G98&gt;5),"Wysoki",OR(C98="Warszawa",C98="Kraków"),"Średni",TRUE,"Niski")</f>
        <v>Niski</v>
      </c>
      <c r="N98" t="str">
        <f>_xlfn.XLOOKUP(F98,Produkty!$A$2:$A$15,Produkty!$B$2:$B$15,"Brak w katalogu")</f>
        <v>Latte</v>
      </c>
      <c r="O98" t="str">
        <f>_xlfn.XLOOKUP(N98,Produkty!$B$2:$B$15,Produkty!$C$2:$C$15,"Brak w katalogu")</f>
        <v>Napoje gorące</v>
      </c>
      <c r="P98" s="15">
        <f>_xlfn.XLOOKUP(Dane!F98,Produkty!$A$2:$A$15,Produkty!$D$2:$D$15)</f>
        <v>14</v>
      </c>
      <c r="Q98" s="15">
        <f t="shared" si="8"/>
        <v>-0.53999999999999915</v>
      </c>
      <c r="R98" t="str">
        <f t="shared" si="9"/>
        <v>Julia Jankowska</v>
      </c>
      <c r="S98" t="str">
        <f t="shared" si="10"/>
        <v>kawiarnia.pl</v>
      </c>
      <c r="T98" t="str">
        <f t="shared" si="11"/>
        <v>J.J.</v>
      </c>
      <c r="U98" t="str">
        <f t="shared" si="12"/>
        <v>Poznań-K003</v>
      </c>
      <c r="V98" t="str">
        <f t="shared" si="15"/>
        <v>01-11-2024</v>
      </c>
      <c r="W98" t="str">
        <f t="shared" si="13"/>
        <v>zakonczone</v>
      </c>
      <c r="X98" s="22">
        <f t="shared" si="14"/>
        <v>-3.8571428571428513E-2</v>
      </c>
    </row>
    <row r="99" spans="1:24" x14ac:dyDescent="0.25">
      <c r="A99" s="6" t="s">
        <v>244</v>
      </c>
      <c r="B99" s="7">
        <v>45483</v>
      </c>
      <c r="C99" s="6" t="s">
        <v>45</v>
      </c>
      <c r="D99" s="6" t="s">
        <v>53</v>
      </c>
      <c r="E99" s="6" t="s">
        <v>54</v>
      </c>
      <c r="F99" s="6" t="s">
        <v>153</v>
      </c>
      <c r="G99" s="6">
        <v>11</v>
      </c>
      <c r="H99" s="8">
        <v>17.600000000000001</v>
      </c>
      <c r="I99" s="8">
        <v>193.6</v>
      </c>
      <c r="J99" s="6" t="s">
        <v>181</v>
      </c>
      <c r="K99" s="6" t="s">
        <v>50</v>
      </c>
      <c r="L99" t="str" cm="1">
        <f t="array" ref="L99">_xlfn.IFS(G99&gt;6,"Duże zamówienie",G99&lt;=6,"Standardowe")</f>
        <v>Duże zamówienie</v>
      </c>
      <c r="M99" t="str" cm="1">
        <f t="array" ref="M99">_xlfn.IFS(AND(C99="Warszawa",G99&gt;5),"Wysoki",OR(C99="Warszawa",C99="Kraków"),"Średni",TRUE,"Niski")</f>
        <v>Średni</v>
      </c>
      <c r="N99" t="str">
        <f>_xlfn.XLOOKUP(F99,Produkty!$A$2:$A$15,Produkty!$B$2:$B$15,"Brak w katalogu")</f>
        <v>Smoothie owocowe</v>
      </c>
      <c r="O99" t="str">
        <f>_xlfn.XLOOKUP(N99,Produkty!$B$2:$B$15,Produkty!$C$2:$C$15,"Brak w katalogu")</f>
        <v>Napoje zimne</v>
      </c>
      <c r="P99" s="15">
        <f>_xlfn.XLOOKUP(Dane!F99,Produkty!$A$2:$A$15,Produkty!$D$2:$D$15)</f>
        <v>18</v>
      </c>
      <c r="Q99" s="15">
        <f t="shared" si="8"/>
        <v>0.39999999999999858</v>
      </c>
      <c r="R99" t="str">
        <f t="shared" si="9"/>
        <v>Weronika Duda</v>
      </c>
      <c r="S99" t="str">
        <f t="shared" si="10"/>
        <v>kawiarnia.pl</v>
      </c>
      <c r="T99" t="str">
        <f t="shared" si="11"/>
        <v>W.D.</v>
      </c>
      <c r="U99" t="str">
        <f t="shared" si="12"/>
        <v>Kraków-K008</v>
      </c>
      <c r="V99" t="str">
        <f t="shared" si="15"/>
        <v>10-07-2024</v>
      </c>
      <c r="W99" t="str">
        <f t="shared" si="13"/>
        <v>zakonczone</v>
      </c>
      <c r="X99" s="22">
        <f t="shared" si="14"/>
        <v>2.2222222222222143E-2</v>
      </c>
    </row>
    <row r="100" spans="1:24" x14ac:dyDescent="0.25">
      <c r="A100" s="6" t="s">
        <v>245</v>
      </c>
      <c r="B100" s="7">
        <v>45445</v>
      </c>
      <c r="C100" s="6" t="s">
        <v>38</v>
      </c>
      <c r="D100" s="6" t="s">
        <v>53</v>
      </c>
      <c r="E100" s="6" t="s">
        <v>58</v>
      </c>
      <c r="F100" s="6" t="s">
        <v>67</v>
      </c>
      <c r="G100" s="6">
        <v>8</v>
      </c>
      <c r="H100" s="8">
        <v>11.77</v>
      </c>
      <c r="I100" s="8">
        <v>94.16</v>
      </c>
      <c r="J100" s="6" t="s">
        <v>103</v>
      </c>
      <c r="K100" s="6" t="s">
        <v>78</v>
      </c>
      <c r="L100" t="str" cm="1">
        <f t="array" ref="L100">_xlfn.IFS(G100&gt;6,"Duże zamówienie",G100&lt;=6,"Standardowe")</f>
        <v>Duże zamówienie</v>
      </c>
      <c r="M100" t="str" cm="1">
        <f t="array" ref="M100">_xlfn.IFS(AND(C100="Warszawa",G100&gt;5),"Wysoki",OR(C100="Warszawa",C100="Kraków"),"Średni",TRUE,"Niski")</f>
        <v>Niski</v>
      </c>
      <c r="N100" t="str">
        <f>_xlfn.XLOOKUP(F100,Produkty!$A$2:$A$15,Produkty!$B$2:$B$15,"Brak w katalogu")</f>
        <v>Cappuccino</v>
      </c>
      <c r="O100" t="str">
        <f>_xlfn.XLOOKUP(N100,Produkty!$B$2:$B$15,Produkty!$C$2:$C$15,"Brak w katalogu")</f>
        <v>Napoje gorące</v>
      </c>
      <c r="P100" s="15">
        <f>_xlfn.XLOOKUP(Dane!F100,Produkty!$A$2:$A$15,Produkty!$D$2:$D$15)</f>
        <v>13</v>
      </c>
      <c r="Q100" s="15">
        <f t="shared" si="8"/>
        <v>1.2300000000000004</v>
      </c>
      <c r="R100" t="str">
        <f t="shared" si="9"/>
        <v>Weronika Duda</v>
      </c>
      <c r="S100" t="str">
        <f t="shared" si="10"/>
        <v>kawiarnia.pl</v>
      </c>
      <c r="T100" t="str">
        <f t="shared" si="11"/>
        <v>W.D.</v>
      </c>
      <c r="U100" t="str">
        <f t="shared" si="12"/>
        <v>Gdańsk-K002</v>
      </c>
      <c r="V100" t="str">
        <f t="shared" si="15"/>
        <v>02-06-2024</v>
      </c>
      <c r="W100" t="str">
        <f t="shared" si="13"/>
        <v>nowe</v>
      </c>
      <c r="X100" s="22">
        <f t="shared" si="14"/>
        <v>9.4615384615384643E-2</v>
      </c>
    </row>
    <row r="101" spans="1:24" x14ac:dyDescent="0.25">
      <c r="A101" s="6" t="s">
        <v>246</v>
      </c>
      <c r="B101" s="7">
        <v>45390</v>
      </c>
      <c r="C101" s="6" t="s">
        <v>52</v>
      </c>
      <c r="D101" s="6" t="s">
        <v>111</v>
      </c>
      <c r="E101" s="6" t="s">
        <v>121</v>
      </c>
      <c r="F101" s="6" t="s">
        <v>219</v>
      </c>
      <c r="G101" s="6">
        <v>7</v>
      </c>
      <c r="H101" s="8">
        <v>12.4</v>
      </c>
      <c r="I101" s="8">
        <v>86.8</v>
      </c>
      <c r="J101" s="6" t="s">
        <v>247</v>
      </c>
      <c r="K101" s="6" t="s">
        <v>65</v>
      </c>
      <c r="L101" t="str" cm="1">
        <f t="array" ref="L101">_xlfn.IFS(G101&gt;6,"Duże zamówienie",G101&lt;=6,"Standardowe")</f>
        <v>Duże zamówienie</v>
      </c>
      <c r="M101" t="str" cm="1">
        <f t="array" ref="M101">_xlfn.IFS(AND(C101="Warszawa",G101&gt;5),"Wysoki",OR(C101="Warszawa",C101="Kraków"),"Średni",TRUE,"Niski")</f>
        <v>Wysoki</v>
      </c>
      <c r="N101" t="str">
        <f>_xlfn.XLOOKUP(F101,Produkty!$A$2:$A$15,Produkty!$B$2:$B$15,"Brak w katalogu")</f>
        <v>Brak w katalogu</v>
      </c>
      <c r="O101" t="str">
        <f>_xlfn.XLOOKUP(N101,Produkty!$B$2:$B$15,Produkty!$C$2:$C$15,"Brak w katalogu")</f>
        <v>Brak w katalogu</v>
      </c>
      <c r="P101" s="15" t="e">
        <f>_xlfn.XLOOKUP(Dane!F101,Produkty!$A$2:$A$15,Produkty!$D$2:$D$15)</f>
        <v>#N/A</v>
      </c>
      <c r="Q101" s="15" t="e">
        <f t="shared" si="8"/>
        <v>#N/A</v>
      </c>
      <c r="R101" t="str">
        <f t="shared" si="9"/>
        <v>Julia Jankowska</v>
      </c>
      <c r="S101" t="str">
        <f t="shared" si="10"/>
        <v>kawiarnia.pl</v>
      </c>
      <c r="T101" t="str">
        <f t="shared" si="11"/>
        <v>J.J.</v>
      </c>
      <c r="U101" t="str">
        <f t="shared" si="12"/>
        <v>Warszawa-K999</v>
      </c>
      <c r="V101" t="str">
        <f t="shared" si="15"/>
        <v>08-04-2024</v>
      </c>
      <c r="W101" t="str">
        <f t="shared" si="13"/>
        <v>nowe</v>
      </c>
      <c r="X101" s="22" t="e">
        <f t="shared" si="14"/>
        <v>#N/A</v>
      </c>
    </row>
    <row r="102" spans="1:24" x14ac:dyDescent="0.25">
      <c r="A102" s="6" t="s">
        <v>248</v>
      </c>
      <c r="B102" s="7">
        <v>45392</v>
      </c>
      <c r="C102" s="6" t="s">
        <v>45</v>
      </c>
      <c r="D102" s="6" t="s">
        <v>39</v>
      </c>
      <c r="E102" s="6" t="s">
        <v>40</v>
      </c>
      <c r="F102" s="6" t="s">
        <v>88</v>
      </c>
      <c r="G102" s="6">
        <v>1</v>
      </c>
      <c r="H102" s="8">
        <v>7.34</v>
      </c>
      <c r="I102" s="8">
        <v>7.34</v>
      </c>
      <c r="J102" s="6" t="s">
        <v>210</v>
      </c>
      <c r="K102" s="6" t="s">
        <v>36</v>
      </c>
      <c r="L102" t="str" cm="1">
        <f t="array" ref="L102">_xlfn.IFS(G102&gt;6,"Duże zamówienie",G102&lt;=6,"Standardowe")</f>
        <v>Standardowe</v>
      </c>
      <c r="M102" t="str" cm="1">
        <f t="array" ref="M102">_xlfn.IFS(AND(C102="Warszawa",G102&gt;5),"Wysoki",OR(C102="Warszawa",C102="Kraków"),"Średni",TRUE,"Niski")</f>
        <v>Średni</v>
      </c>
      <c r="N102" t="str">
        <f>_xlfn.XLOOKUP(F102,Produkty!$A$2:$A$15,Produkty!$B$2:$B$15,"Brak w katalogu")</f>
        <v>Croissant</v>
      </c>
      <c r="O102" t="str">
        <f>_xlfn.XLOOKUP(N102,Produkty!$B$2:$B$15,Produkty!$C$2:$C$15,"Brak w katalogu")</f>
        <v>Wypieki</v>
      </c>
      <c r="P102" s="15">
        <f>_xlfn.XLOOKUP(Dane!F102,Produkty!$A$2:$A$15,Produkty!$D$2:$D$15)</f>
        <v>8</v>
      </c>
      <c r="Q102" s="15">
        <f t="shared" si="8"/>
        <v>0.66000000000000014</v>
      </c>
      <c r="R102" t="str">
        <f t="shared" si="9"/>
        <v>Aleksandra Kowal</v>
      </c>
      <c r="S102" t="str">
        <f t="shared" si="10"/>
        <v>kawiarnia.pl</v>
      </c>
      <c r="T102" t="str">
        <f t="shared" si="11"/>
        <v>A.K.</v>
      </c>
      <c r="U102" t="str">
        <f t="shared" si="12"/>
        <v>Kraków-K009</v>
      </c>
      <c r="V102" t="str">
        <f t="shared" si="15"/>
        <v>10-04-2024</v>
      </c>
      <c r="W102" t="str">
        <f t="shared" si="13"/>
        <v>w realizacji</v>
      </c>
      <c r="X102" s="22">
        <f t="shared" si="14"/>
        <v>8.2500000000000018E-2</v>
      </c>
    </row>
    <row r="103" spans="1:24" x14ac:dyDescent="0.25">
      <c r="A103" s="6" t="s">
        <v>249</v>
      </c>
      <c r="B103" s="7">
        <v>45388</v>
      </c>
      <c r="C103" s="6" t="s">
        <v>45</v>
      </c>
      <c r="D103" s="6" t="s">
        <v>32</v>
      </c>
      <c r="E103" s="6" t="s">
        <v>90</v>
      </c>
      <c r="F103" s="6" t="s">
        <v>219</v>
      </c>
      <c r="G103" s="6">
        <v>12</v>
      </c>
      <c r="H103" s="8">
        <v>12.56</v>
      </c>
      <c r="I103" s="8">
        <v>150.72</v>
      </c>
      <c r="J103" s="6" t="s">
        <v>200</v>
      </c>
      <c r="K103" s="6" t="s">
        <v>61</v>
      </c>
      <c r="L103" t="str" cm="1">
        <f t="array" ref="L103">_xlfn.IFS(G103&gt;6,"Duże zamówienie",G103&lt;=6,"Standardowe")</f>
        <v>Duże zamówienie</v>
      </c>
      <c r="M103" t="str" cm="1">
        <f t="array" ref="M103">_xlfn.IFS(AND(C103="Warszawa",G103&gt;5),"Wysoki",OR(C103="Warszawa",C103="Kraków"),"Średni",TRUE,"Niski")</f>
        <v>Średni</v>
      </c>
      <c r="N103" t="str">
        <f>_xlfn.XLOOKUP(F103,Produkty!$A$2:$A$15,Produkty!$B$2:$B$15,"Brak w katalogu")</f>
        <v>Brak w katalogu</v>
      </c>
      <c r="O103" t="str">
        <f>_xlfn.XLOOKUP(N103,Produkty!$B$2:$B$15,Produkty!$C$2:$C$15,"Brak w katalogu")</f>
        <v>Brak w katalogu</v>
      </c>
      <c r="P103" s="15" t="e">
        <f>_xlfn.XLOOKUP(Dane!F103,Produkty!$A$2:$A$15,Produkty!$D$2:$D$15)</f>
        <v>#N/A</v>
      </c>
      <c r="Q103" s="15" t="e">
        <f t="shared" si="8"/>
        <v>#N/A</v>
      </c>
      <c r="R103" t="str">
        <f t="shared" si="9"/>
        <v>Natalia Krawczyk</v>
      </c>
      <c r="S103" t="str">
        <f t="shared" si="10"/>
        <v>kawiarnia.pl</v>
      </c>
      <c r="T103" t="str">
        <f t="shared" si="11"/>
        <v>N.K.</v>
      </c>
      <c r="U103" t="str">
        <f t="shared" si="12"/>
        <v>Kraków-K999</v>
      </c>
      <c r="V103" t="str">
        <f t="shared" si="15"/>
        <v>06-04-2024</v>
      </c>
      <c r="W103" t="str">
        <f t="shared" si="13"/>
        <v>w realizacji</v>
      </c>
      <c r="X103" s="22" t="e">
        <f t="shared" si="14"/>
        <v>#N/A</v>
      </c>
    </row>
    <row r="104" spans="1:24" x14ac:dyDescent="0.25">
      <c r="A104" s="6" t="s">
        <v>250</v>
      </c>
      <c r="B104" s="7">
        <v>45311</v>
      </c>
      <c r="C104" s="6" t="s">
        <v>45</v>
      </c>
      <c r="D104" s="6" t="s">
        <v>32</v>
      </c>
      <c r="E104" s="6" t="s">
        <v>33</v>
      </c>
      <c r="F104" s="6" t="s">
        <v>34</v>
      </c>
      <c r="G104" s="6">
        <v>9</v>
      </c>
      <c r="H104" s="8">
        <v>11.14</v>
      </c>
      <c r="I104" s="8">
        <v>100.26</v>
      </c>
      <c r="J104" s="6" t="s">
        <v>251</v>
      </c>
      <c r="K104" s="6" t="s">
        <v>78</v>
      </c>
      <c r="L104" t="str" cm="1">
        <f t="array" ref="L104">_xlfn.IFS(G104&gt;6,"Duże zamówienie",G104&lt;=6,"Standardowe")</f>
        <v>Duże zamówienie</v>
      </c>
      <c r="M104" t="str" cm="1">
        <f t="array" ref="M104">_xlfn.IFS(AND(C104="Warszawa",G104&gt;5),"Wysoki",OR(C104="Warszawa",C104="Kraków"),"Średni",TRUE,"Niski")</f>
        <v>Średni</v>
      </c>
      <c r="N104" t="str">
        <f>_xlfn.XLOOKUP(F104,Produkty!$A$2:$A$15,Produkty!$B$2:$B$15,"Brak w katalogu")</f>
        <v>Americano</v>
      </c>
      <c r="O104" t="str">
        <f>_xlfn.XLOOKUP(N104,Produkty!$B$2:$B$15,Produkty!$C$2:$C$15,"Brak w katalogu")</f>
        <v>Napoje gorące</v>
      </c>
      <c r="P104" s="15">
        <f>_xlfn.XLOOKUP(Dane!F104,Produkty!$A$2:$A$15,Produkty!$D$2:$D$15)</f>
        <v>11</v>
      </c>
      <c r="Q104" s="15">
        <f t="shared" si="8"/>
        <v>-0.14000000000000057</v>
      </c>
      <c r="R104" t="str">
        <f t="shared" si="9"/>
        <v>Natalia Krawczyk</v>
      </c>
      <c r="S104" t="str">
        <f t="shared" si="10"/>
        <v>kawiarnia.pl</v>
      </c>
      <c r="T104" t="str">
        <f t="shared" si="11"/>
        <v>N.K.</v>
      </c>
      <c r="U104" t="str">
        <f t="shared" si="12"/>
        <v>Kraków-K004</v>
      </c>
      <c r="V104" t="str">
        <f t="shared" si="15"/>
        <v>20-01-2024</v>
      </c>
      <c r="W104" t="str">
        <f t="shared" si="13"/>
        <v>nowe</v>
      </c>
      <c r="X104" s="22">
        <f t="shared" si="14"/>
        <v>-1.272727272727278E-2</v>
      </c>
    </row>
    <row r="105" spans="1:24" x14ac:dyDescent="0.25">
      <c r="A105" s="6" t="s">
        <v>252</v>
      </c>
      <c r="B105" s="7">
        <v>45427</v>
      </c>
      <c r="C105" s="6" t="s">
        <v>31</v>
      </c>
      <c r="D105" s="6" t="s">
        <v>111</v>
      </c>
      <c r="E105" s="6" t="s">
        <v>121</v>
      </c>
      <c r="F105" s="6" t="s">
        <v>84</v>
      </c>
      <c r="G105" s="6">
        <v>4</v>
      </c>
      <c r="H105" s="8">
        <v>15.1</v>
      </c>
      <c r="I105" s="8">
        <v>60.4</v>
      </c>
      <c r="J105" s="6" t="s">
        <v>253</v>
      </c>
      <c r="K105" s="6" t="s">
        <v>78</v>
      </c>
      <c r="L105" t="str" cm="1">
        <f t="array" ref="L105">_xlfn.IFS(G105&gt;6,"Duże zamówienie",G105&lt;=6,"Standardowe")</f>
        <v>Standardowe</v>
      </c>
      <c r="M105" t="str" cm="1">
        <f t="array" ref="M105">_xlfn.IFS(AND(C105="Warszawa",G105&gt;5),"Wysoki",OR(C105="Warszawa",C105="Kraków"),"Średni",TRUE,"Niski")</f>
        <v>Niski</v>
      </c>
      <c r="N105" t="str">
        <f>_xlfn.XLOOKUP(F105,Produkty!$A$2:$A$15,Produkty!$B$2:$B$15,"Brak w katalogu")</f>
        <v>Mrożona kawa</v>
      </c>
      <c r="O105" t="str">
        <f>_xlfn.XLOOKUP(N105,Produkty!$B$2:$B$15,Produkty!$C$2:$C$15,"Brak w katalogu")</f>
        <v>Napoje zimne</v>
      </c>
      <c r="P105" s="15">
        <f>_xlfn.XLOOKUP(Dane!F105,Produkty!$A$2:$A$15,Produkty!$D$2:$D$15)</f>
        <v>16</v>
      </c>
      <c r="Q105" s="15">
        <f t="shared" si="8"/>
        <v>0.90000000000000036</v>
      </c>
      <c r="R105" t="str">
        <f t="shared" si="9"/>
        <v>Julia Jankowska</v>
      </c>
      <c r="S105" t="str">
        <f t="shared" si="10"/>
        <v>kawiarnia.pl</v>
      </c>
      <c r="T105" t="str">
        <f t="shared" si="11"/>
        <v>J.J.</v>
      </c>
      <c r="U105" t="str">
        <f t="shared" si="12"/>
        <v>Poznań-K006</v>
      </c>
      <c r="V105" t="str">
        <f t="shared" si="15"/>
        <v>15-05-2024</v>
      </c>
      <c r="W105" t="str">
        <f t="shared" si="13"/>
        <v>nowe</v>
      </c>
      <c r="X105" s="22">
        <f t="shared" si="14"/>
        <v>5.6250000000000022E-2</v>
      </c>
    </row>
    <row r="106" spans="1:24" x14ac:dyDescent="0.25">
      <c r="A106" s="6" t="s">
        <v>254</v>
      </c>
      <c r="B106" s="7">
        <v>45345</v>
      </c>
      <c r="C106" s="6" t="s">
        <v>45</v>
      </c>
      <c r="D106" s="6" t="s">
        <v>148</v>
      </c>
      <c r="E106" s="6" t="s">
        <v>149</v>
      </c>
      <c r="F106" s="6" t="s">
        <v>41</v>
      </c>
      <c r="G106" s="6">
        <v>5</v>
      </c>
      <c r="H106" s="8">
        <v>12.19</v>
      </c>
      <c r="I106" s="8">
        <v>60.95</v>
      </c>
      <c r="J106" s="6" t="s">
        <v>224</v>
      </c>
      <c r="K106" s="6" t="s">
        <v>43</v>
      </c>
      <c r="L106" t="str" cm="1">
        <f t="array" ref="L106">_xlfn.IFS(G106&gt;6,"Duże zamówienie",G106&lt;=6,"Standardowe")</f>
        <v>Standardowe</v>
      </c>
      <c r="M106" t="str" cm="1">
        <f t="array" ref="M106">_xlfn.IFS(AND(C106="Warszawa",G106&gt;5),"Wysoki",OR(C106="Warszawa",C106="Kraków"),"Średni",TRUE,"Niski")</f>
        <v>Średni</v>
      </c>
      <c r="N106" t="str">
        <f>_xlfn.XLOOKUP(F106,Produkty!$A$2:$A$15,Produkty!$B$2:$B$15,"Brak w katalogu")</f>
        <v>Lemoniada</v>
      </c>
      <c r="O106" t="str">
        <f>_xlfn.XLOOKUP(N106,Produkty!$B$2:$B$15,Produkty!$C$2:$C$15,"Brak w katalogu")</f>
        <v>Napoje zimne</v>
      </c>
      <c r="P106" s="15">
        <f>_xlfn.XLOOKUP(Dane!F106,Produkty!$A$2:$A$15,Produkty!$D$2:$D$15)</f>
        <v>12</v>
      </c>
      <c r="Q106" s="15">
        <f t="shared" si="8"/>
        <v>-0.1899999999999995</v>
      </c>
      <c r="R106" t="str">
        <f t="shared" si="9"/>
        <v>Michal Nowicki</v>
      </c>
      <c r="S106" t="str">
        <f t="shared" si="10"/>
        <v>kawiarnia.pl</v>
      </c>
      <c r="T106" t="str">
        <f t="shared" si="11"/>
        <v>M.N.</v>
      </c>
      <c r="U106" t="str">
        <f t="shared" si="12"/>
        <v>Kraków-K007</v>
      </c>
      <c r="V106" t="str">
        <f t="shared" si="15"/>
        <v>23-02-2024</v>
      </c>
      <c r="W106" t="str">
        <f t="shared" si="13"/>
        <v>zakonczone</v>
      </c>
      <c r="X106" s="22">
        <f t="shared" si="14"/>
        <v>-1.5833333333333293E-2</v>
      </c>
    </row>
    <row r="107" spans="1:24" x14ac:dyDescent="0.25">
      <c r="A107" s="6" t="s">
        <v>255</v>
      </c>
      <c r="B107" s="7">
        <v>45387</v>
      </c>
      <c r="C107" s="6" t="s">
        <v>31</v>
      </c>
      <c r="D107" s="6" t="s">
        <v>111</v>
      </c>
      <c r="E107" s="6" t="s">
        <v>112</v>
      </c>
      <c r="F107" s="6" t="s">
        <v>96</v>
      </c>
      <c r="G107" s="6">
        <v>8</v>
      </c>
      <c r="H107" s="8">
        <v>8.98</v>
      </c>
      <c r="I107" s="8">
        <v>71.84</v>
      </c>
      <c r="J107" s="6" t="s">
        <v>220</v>
      </c>
      <c r="K107" s="6" t="s">
        <v>78</v>
      </c>
      <c r="L107" t="str" cm="1">
        <f t="array" ref="L107">_xlfn.IFS(G107&gt;6,"Duże zamówienie",G107&lt;=6,"Standardowe")</f>
        <v>Duże zamówienie</v>
      </c>
      <c r="M107" t="str" cm="1">
        <f t="array" ref="M107">_xlfn.IFS(AND(C107="Warszawa",G107&gt;5),"Wysoki",OR(C107="Warszawa",C107="Kraków"),"Średni",TRUE,"Niski")</f>
        <v>Niski</v>
      </c>
      <c r="N107" t="str">
        <f>_xlfn.XLOOKUP(F107,Produkty!$A$2:$A$15,Produkty!$B$2:$B$15,"Brak w katalogu")</f>
        <v>Muffin czekoladowy</v>
      </c>
      <c r="O107" t="str">
        <f>_xlfn.XLOOKUP(N107,Produkty!$B$2:$B$15,Produkty!$C$2:$C$15,"Brak w katalogu")</f>
        <v>Wypieki</v>
      </c>
      <c r="P107" s="15">
        <f>_xlfn.XLOOKUP(Dane!F107,Produkty!$A$2:$A$15,Produkty!$D$2:$D$15)</f>
        <v>9</v>
      </c>
      <c r="Q107" s="15">
        <f t="shared" si="8"/>
        <v>1.9999999999999574E-2</v>
      </c>
      <c r="R107" t="str">
        <f t="shared" si="9"/>
        <v>Julia Jankowska</v>
      </c>
      <c r="S107" t="str">
        <f t="shared" si="10"/>
        <v>kawiarnia.pl</v>
      </c>
      <c r="T107" t="str">
        <f t="shared" si="11"/>
        <v>J.J.</v>
      </c>
      <c r="U107" t="str">
        <f t="shared" si="12"/>
        <v>Poznań-K011</v>
      </c>
      <c r="V107" t="str">
        <f t="shared" si="15"/>
        <v>05-04-2024</v>
      </c>
      <c r="W107" t="str">
        <f t="shared" si="13"/>
        <v>nowe</v>
      </c>
      <c r="X107" s="22">
        <f t="shared" si="14"/>
        <v>2.2222222222221749E-3</v>
      </c>
    </row>
    <row r="108" spans="1:24" x14ac:dyDescent="0.25">
      <c r="A108" s="6" t="s">
        <v>256</v>
      </c>
      <c r="B108" s="7">
        <v>45306</v>
      </c>
      <c r="C108" s="6" t="s">
        <v>110</v>
      </c>
      <c r="D108" s="6" t="s">
        <v>39</v>
      </c>
      <c r="E108" s="6" t="s">
        <v>128</v>
      </c>
      <c r="F108" s="6" t="s">
        <v>102</v>
      </c>
      <c r="G108" s="6">
        <v>7</v>
      </c>
      <c r="H108" s="8">
        <v>9.06</v>
      </c>
      <c r="I108" s="8">
        <v>63.42</v>
      </c>
      <c r="J108" s="6" t="s">
        <v>224</v>
      </c>
      <c r="K108" s="6" t="s">
        <v>36</v>
      </c>
      <c r="L108" t="str" cm="1">
        <f t="array" ref="L108">_xlfn.IFS(G108&gt;6,"Duże zamówienie",G108&lt;=6,"Standardowe")</f>
        <v>Duże zamówienie</v>
      </c>
      <c r="M108" t="str" cm="1">
        <f t="array" ref="M108">_xlfn.IFS(AND(C108="Warszawa",G108&gt;5),"Wysoki",OR(C108="Warszawa",C108="Kraków"),"Średni",TRUE,"Niski")</f>
        <v>Niski</v>
      </c>
      <c r="N108" t="str">
        <f>_xlfn.XLOOKUP(F108,Produkty!$A$2:$A$15,Produkty!$B$2:$B$15,"Brak w katalogu")</f>
        <v>Espresso</v>
      </c>
      <c r="O108" t="str">
        <f>_xlfn.XLOOKUP(N108,Produkty!$B$2:$B$15,Produkty!$C$2:$C$15,"Brak w katalogu")</f>
        <v>Napoje gorące</v>
      </c>
      <c r="P108" s="15">
        <f>_xlfn.XLOOKUP(Dane!F108,Produkty!$A$2:$A$15,Produkty!$D$2:$D$15)</f>
        <v>9</v>
      </c>
      <c r="Q108" s="15">
        <f t="shared" si="8"/>
        <v>-6.0000000000000497E-2</v>
      </c>
      <c r="R108" t="str">
        <f t="shared" si="9"/>
        <v>Aleksandra Kowal</v>
      </c>
      <c r="S108" t="str">
        <f t="shared" si="10"/>
        <v>kawiarnia.pl</v>
      </c>
      <c r="T108" t="str">
        <f t="shared" si="11"/>
        <v>A.K.</v>
      </c>
      <c r="U108" t="str">
        <f t="shared" si="12"/>
        <v>Wrocław-K001</v>
      </c>
      <c r="V108" t="str">
        <f t="shared" si="15"/>
        <v>15-01-2024</v>
      </c>
      <c r="W108" t="str">
        <f t="shared" si="13"/>
        <v>w realizacji</v>
      </c>
      <c r="X108" s="22">
        <f t="shared" si="14"/>
        <v>-6.6666666666667217E-3</v>
      </c>
    </row>
    <row r="109" spans="1:24" x14ac:dyDescent="0.25">
      <c r="A109" s="6" t="s">
        <v>257</v>
      </c>
      <c r="B109" s="7">
        <v>45652</v>
      </c>
      <c r="C109" s="6" t="s">
        <v>52</v>
      </c>
      <c r="D109" s="6" t="s">
        <v>46</v>
      </c>
      <c r="E109" s="6" t="s">
        <v>47</v>
      </c>
      <c r="F109" s="6" t="s">
        <v>59</v>
      </c>
      <c r="G109" s="6">
        <v>6</v>
      </c>
      <c r="H109" s="8">
        <v>15.02</v>
      </c>
      <c r="I109" s="8">
        <v>90.12</v>
      </c>
      <c r="J109" s="6" t="s">
        <v>247</v>
      </c>
      <c r="K109" s="6" t="s">
        <v>36</v>
      </c>
      <c r="L109" t="str" cm="1">
        <f t="array" ref="L109">_xlfn.IFS(G109&gt;6,"Duże zamówienie",G109&lt;=6,"Standardowe")</f>
        <v>Standardowe</v>
      </c>
      <c r="M109" t="str" cm="1">
        <f t="array" ref="M109">_xlfn.IFS(AND(C109="Warszawa",G109&gt;5),"Wysoki",OR(C109="Warszawa",C109="Kraków"),"Średni",TRUE,"Niski")</f>
        <v>Wysoki</v>
      </c>
      <c r="N109" t="str">
        <f>_xlfn.XLOOKUP(F109,Produkty!$A$2:$A$15,Produkty!$B$2:$B$15,"Brak w katalogu")</f>
        <v>Sernik</v>
      </c>
      <c r="O109" t="str">
        <f>_xlfn.XLOOKUP(N109,Produkty!$B$2:$B$15,Produkty!$C$2:$C$15,"Brak w katalogu")</f>
        <v>Wypieki</v>
      </c>
      <c r="P109" s="15">
        <f>_xlfn.XLOOKUP(Dane!F109,Produkty!$A$2:$A$15,Produkty!$D$2:$D$15)</f>
        <v>15</v>
      </c>
      <c r="Q109" s="15">
        <f t="shared" si="8"/>
        <v>-1.9999999999999574E-2</v>
      </c>
      <c r="R109" t="str">
        <f t="shared" si="9"/>
        <v>Bartosz Zajac</v>
      </c>
      <c r="S109" t="str">
        <f t="shared" si="10"/>
        <v>kawiarnia.pl</v>
      </c>
      <c r="T109" t="str">
        <f t="shared" si="11"/>
        <v>B.Z.</v>
      </c>
      <c r="U109" t="str">
        <f t="shared" si="12"/>
        <v>Warszawa-K010</v>
      </c>
      <c r="V109" t="str">
        <f t="shared" si="15"/>
        <v>26-12-2024</v>
      </c>
      <c r="W109" t="str">
        <f t="shared" si="13"/>
        <v>w realizacji</v>
      </c>
      <c r="X109" s="22">
        <f t="shared" si="14"/>
        <v>-1.3333333333333049E-3</v>
      </c>
    </row>
    <row r="110" spans="1:24" x14ac:dyDescent="0.25">
      <c r="A110" s="6" t="s">
        <v>258</v>
      </c>
      <c r="B110" s="7">
        <v>45427</v>
      </c>
      <c r="C110" s="6" t="s">
        <v>31</v>
      </c>
      <c r="D110" s="6" t="s">
        <v>46</v>
      </c>
      <c r="E110" s="6" t="s">
        <v>80</v>
      </c>
      <c r="F110" s="6" t="s">
        <v>96</v>
      </c>
      <c r="G110" s="6">
        <v>5</v>
      </c>
      <c r="H110" s="8">
        <v>9.23</v>
      </c>
      <c r="I110" s="8">
        <v>46.15</v>
      </c>
      <c r="J110" s="6" t="s">
        <v>259</v>
      </c>
      <c r="K110" s="6" t="s">
        <v>65</v>
      </c>
      <c r="L110" t="str" cm="1">
        <f t="array" ref="L110">_xlfn.IFS(G110&gt;6,"Duże zamówienie",G110&lt;=6,"Standardowe")</f>
        <v>Standardowe</v>
      </c>
      <c r="M110" t="str" cm="1">
        <f t="array" ref="M110">_xlfn.IFS(AND(C110="Warszawa",G110&gt;5),"Wysoki",OR(C110="Warszawa",C110="Kraków"),"Średni",TRUE,"Niski")</f>
        <v>Niski</v>
      </c>
      <c r="N110" t="str">
        <f>_xlfn.XLOOKUP(F110,Produkty!$A$2:$A$15,Produkty!$B$2:$B$15,"Brak w katalogu")</f>
        <v>Muffin czekoladowy</v>
      </c>
      <c r="O110" t="str">
        <f>_xlfn.XLOOKUP(N110,Produkty!$B$2:$B$15,Produkty!$C$2:$C$15,"Brak w katalogu")</f>
        <v>Wypieki</v>
      </c>
      <c r="P110" s="15">
        <f>_xlfn.XLOOKUP(Dane!F110,Produkty!$A$2:$A$15,Produkty!$D$2:$D$15)</f>
        <v>9</v>
      </c>
      <c r="Q110" s="15">
        <f t="shared" si="8"/>
        <v>-0.23000000000000043</v>
      </c>
      <c r="R110" t="str">
        <f t="shared" si="9"/>
        <v>Bartosz Zajac</v>
      </c>
      <c r="S110" t="str">
        <f t="shared" si="10"/>
        <v>kawiarnia.pl</v>
      </c>
      <c r="T110" t="str">
        <f t="shared" si="11"/>
        <v>B.Z.</v>
      </c>
      <c r="U110" t="str">
        <f t="shared" si="12"/>
        <v>Poznań-K011</v>
      </c>
      <c r="V110" t="str">
        <f t="shared" si="15"/>
        <v>15-05-2024</v>
      </c>
      <c r="W110" t="str">
        <f t="shared" si="13"/>
        <v>nowe</v>
      </c>
      <c r="X110" s="22">
        <f t="shared" si="14"/>
        <v>-2.5555555555555602E-2</v>
      </c>
    </row>
    <row r="111" spans="1:24" x14ac:dyDescent="0.25">
      <c r="A111" s="6" t="s">
        <v>260</v>
      </c>
      <c r="B111" s="7">
        <v>45336</v>
      </c>
      <c r="C111" s="6" t="s">
        <v>31</v>
      </c>
      <c r="D111" s="6" t="s">
        <v>39</v>
      </c>
      <c r="E111" s="6" t="s">
        <v>192</v>
      </c>
      <c r="F111" s="6" t="s">
        <v>67</v>
      </c>
      <c r="G111" s="6">
        <v>6</v>
      </c>
      <c r="H111" s="8">
        <v>12.46</v>
      </c>
      <c r="I111" s="8">
        <v>74.760000000000005</v>
      </c>
      <c r="J111" s="6" t="s">
        <v>261</v>
      </c>
      <c r="K111" s="6" t="s">
        <v>61</v>
      </c>
      <c r="L111" t="str" cm="1">
        <f t="array" ref="L111">_xlfn.IFS(G111&gt;6,"Duże zamówienie",G111&lt;=6,"Standardowe")</f>
        <v>Standardowe</v>
      </c>
      <c r="M111" t="str" cm="1">
        <f t="array" ref="M111">_xlfn.IFS(AND(C111="Warszawa",G111&gt;5),"Wysoki",OR(C111="Warszawa",C111="Kraków"),"Średni",TRUE,"Niski")</f>
        <v>Niski</v>
      </c>
      <c r="N111" t="str">
        <f>_xlfn.XLOOKUP(F111,Produkty!$A$2:$A$15,Produkty!$B$2:$B$15,"Brak w katalogu")</f>
        <v>Cappuccino</v>
      </c>
      <c r="O111" t="str">
        <f>_xlfn.XLOOKUP(N111,Produkty!$B$2:$B$15,Produkty!$C$2:$C$15,"Brak w katalogu")</f>
        <v>Napoje gorące</v>
      </c>
      <c r="P111" s="15">
        <f>_xlfn.XLOOKUP(Dane!F111,Produkty!$A$2:$A$15,Produkty!$D$2:$D$15)</f>
        <v>13</v>
      </c>
      <c r="Q111" s="15">
        <f t="shared" si="8"/>
        <v>0.53999999999999915</v>
      </c>
      <c r="R111" t="str">
        <f t="shared" si="9"/>
        <v>Aleksandra Kowal</v>
      </c>
      <c r="S111" t="str">
        <f t="shared" si="10"/>
        <v>kawiarnia.pl</v>
      </c>
      <c r="T111" t="str">
        <f t="shared" si="11"/>
        <v>A.K.</v>
      </c>
      <c r="U111" t="str">
        <f t="shared" si="12"/>
        <v>Poznań-K002</v>
      </c>
      <c r="V111" t="str">
        <f t="shared" si="15"/>
        <v>14-02-2024</v>
      </c>
      <c r="W111" t="str">
        <f t="shared" si="13"/>
        <v>w realizacji</v>
      </c>
      <c r="X111" s="22">
        <f t="shared" si="14"/>
        <v>4.1538461538461476E-2</v>
      </c>
    </row>
    <row r="112" spans="1:24" x14ac:dyDescent="0.25">
      <c r="A112" s="6" t="s">
        <v>262</v>
      </c>
      <c r="B112" s="7">
        <v>45417</v>
      </c>
      <c r="C112" s="6" t="s">
        <v>52</v>
      </c>
      <c r="D112" s="6" t="s">
        <v>46</v>
      </c>
      <c r="E112" s="6" t="s">
        <v>80</v>
      </c>
      <c r="F112" s="6" t="s">
        <v>88</v>
      </c>
      <c r="G112" s="6">
        <v>7</v>
      </c>
      <c r="H112" s="8">
        <v>7.4</v>
      </c>
      <c r="I112" s="8">
        <v>51.8</v>
      </c>
      <c r="J112" s="6" t="s">
        <v>263</v>
      </c>
      <c r="K112" s="6" t="s">
        <v>65</v>
      </c>
      <c r="L112" t="str" cm="1">
        <f t="array" ref="L112">_xlfn.IFS(G112&gt;6,"Duże zamówienie",G112&lt;=6,"Standardowe")</f>
        <v>Duże zamówienie</v>
      </c>
      <c r="M112" t="str" cm="1">
        <f t="array" ref="M112">_xlfn.IFS(AND(C112="Warszawa",G112&gt;5),"Wysoki",OR(C112="Warszawa",C112="Kraków"),"Średni",TRUE,"Niski")</f>
        <v>Wysoki</v>
      </c>
      <c r="N112" t="str">
        <f>_xlfn.XLOOKUP(F112,Produkty!$A$2:$A$15,Produkty!$B$2:$B$15,"Brak w katalogu")</f>
        <v>Croissant</v>
      </c>
      <c r="O112" t="str">
        <f>_xlfn.XLOOKUP(N112,Produkty!$B$2:$B$15,Produkty!$C$2:$C$15,"Brak w katalogu")</f>
        <v>Wypieki</v>
      </c>
      <c r="P112" s="15">
        <f>_xlfn.XLOOKUP(Dane!F112,Produkty!$A$2:$A$15,Produkty!$D$2:$D$15)</f>
        <v>8</v>
      </c>
      <c r="Q112" s="15">
        <f t="shared" si="8"/>
        <v>0.59999999999999964</v>
      </c>
      <c r="R112" t="str">
        <f t="shared" si="9"/>
        <v>Bartosz Zajac</v>
      </c>
      <c r="S112" t="str">
        <f t="shared" si="10"/>
        <v>kawiarnia.pl</v>
      </c>
      <c r="T112" t="str">
        <f t="shared" si="11"/>
        <v>B.Z.</v>
      </c>
      <c r="U112" t="str">
        <f t="shared" si="12"/>
        <v>Warszawa-K009</v>
      </c>
      <c r="V112" t="str">
        <f t="shared" si="15"/>
        <v>05-05-2024</v>
      </c>
      <c r="W112" t="str">
        <f t="shared" si="13"/>
        <v>nowe</v>
      </c>
      <c r="X112" s="22">
        <f t="shared" si="14"/>
        <v>7.4999999999999956E-2</v>
      </c>
    </row>
    <row r="113" spans="1:24" x14ac:dyDescent="0.25">
      <c r="A113" s="6" t="s">
        <v>264</v>
      </c>
      <c r="B113" s="7">
        <v>45466</v>
      </c>
      <c r="C113" s="6" t="s">
        <v>110</v>
      </c>
      <c r="D113" s="6" t="s">
        <v>32</v>
      </c>
      <c r="E113" s="6" t="s">
        <v>90</v>
      </c>
      <c r="F113" s="6" t="s">
        <v>113</v>
      </c>
      <c r="G113" s="6">
        <v>3</v>
      </c>
      <c r="H113" s="8">
        <v>15.73</v>
      </c>
      <c r="I113" s="8">
        <v>47.19</v>
      </c>
      <c r="J113" s="6" t="s">
        <v>265</v>
      </c>
      <c r="K113" s="6" t="s">
        <v>50</v>
      </c>
      <c r="L113" t="str" cm="1">
        <f t="array" ref="L113">_xlfn.IFS(G113&gt;6,"Duże zamówienie",G113&lt;=6,"Standardowe")</f>
        <v>Standardowe</v>
      </c>
      <c r="M113" t="str" cm="1">
        <f t="array" ref="M113">_xlfn.IFS(AND(C113="Warszawa",G113&gt;5),"Wysoki",OR(C113="Warszawa",C113="Kraków"),"Średni",TRUE,"Niski")</f>
        <v>Niski</v>
      </c>
      <c r="N113" t="str">
        <f>_xlfn.XLOOKUP(F113,Produkty!$A$2:$A$15,Produkty!$B$2:$B$15,"Brak w katalogu")</f>
        <v>Bagietka z szynką</v>
      </c>
      <c r="O113" t="str">
        <f>_xlfn.XLOOKUP(N113,Produkty!$B$2:$B$15,Produkty!$C$2:$C$15,"Brak w katalogu")</f>
        <v>Przekąski</v>
      </c>
      <c r="P113" s="15">
        <f>_xlfn.XLOOKUP(Dane!F113,Produkty!$A$2:$A$15,Produkty!$D$2:$D$15)</f>
        <v>17</v>
      </c>
      <c r="Q113" s="15">
        <f t="shared" si="8"/>
        <v>1.2699999999999996</v>
      </c>
      <c r="R113" t="str">
        <f t="shared" si="9"/>
        <v>Natalia Krawczyk</v>
      </c>
      <c r="S113" t="str">
        <f t="shared" si="10"/>
        <v>kawiarnia.pl</v>
      </c>
      <c r="T113" t="str">
        <f t="shared" si="11"/>
        <v>N.K.</v>
      </c>
      <c r="U113" t="str">
        <f t="shared" si="12"/>
        <v>Wrocław-K012</v>
      </c>
      <c r="V113" t="str">
        <f t="shared" si="15"/>
        <v>23-06-2024</v>
      </c>
      <c r="W113" t="str">
        <f t="shared" si="13"/>
        <v>zakonczone</v>
      </c>
      <c r="X113" s="22">
        <f t="shared" si="14"/>
        <v>7.470588235294115E-2</v>
      </c>
    </row>
    <row r="114" spans="1:24" x14ac:dyDescent="0.25">
      <c r="A114" s="6" t="s">
        <v>266</v>
      </c>
      <c r="B114" s="7">
        <v>45635</v>
      </c>
      <c r="C114" s="6" t="s">
        <v>52</v>
      </c>
      <c r="D114" s="6" t="s">
        <v>148</v>
      </c>
      <c r="E114" s="6" t="s">
        <v>149</v>
      </c>
      <c r="F114" s="6" t="s">
        <v>219</v>
      </c>
      <c r="G114" s="6">
        <v>6</v>
      </c>
      <c r="H114" s="8">
        <v>11.64</v>
      </c>
      <c r="I114" s="8">
        <v>69.84</v>
      </c>
      <c r="J114" s="6" t="s">
        <v>72</v>
      </c>
      <c r="K114" s="6" t="s">
        <v>61</v>
      </c>
      <c r="L114" t="str" cm="1">
        <f t="array" ref="L114">_xlfn.IFS(G114&gt;6,"Duże zamówienie",G114&lt;=6,"Standardowe")</f>
        <v>Standardowe</v>
      </c>
      <c r="M114" t="str" cm="1">
        <f t="array" ref="M114">_xlfn.IFS(AND(C114="Warszawa",G114&gt;5),"Wysoki",OR(C114="Warszawa",C114="Kraków"),"Średni",TRUE,"Niski")</f>
        <v>Wysoki</v>
      </c>
      <c r="N114" t="str">
        <f>_xlfn.XLOOKUP(F114,Produkty!$A$2:$A$15,Produkty!$B$2:$B$15,"Brak w katalogu")</f>
        <v>Brak w katalogu</v>
      </c>
      <c r="O114" t="str">
        <f>_xlfn.XLOOKUP(N114,Produkty!$B$2:$B$15,Produkty!$C$2:$C$15,"Brak w katalogu")</f>
        <v>Brak w katalogu</v>
      </c>
      <c r="P114" s="15" t="e">
        <f>_xlfn.XLOOKUP(Dane!F114,Produkty!$A$2:$A$15,Produkty!$D$2:$D$15)</f>
        <v>#N/A</v>
      </c>
      <c r="Q114" s="15" t="e">
        <f t="shared" si="8"/>
        <v>#N/A</v>
      </c>
      <c r="R114" t="str">
        <f t="shared" si="9"/>
        <v>Michal Nowicki</v>
      </c>
      <c r="S114" t="str">
        <f t="shared" si="10"/>
        <v>kawiarnia.pl</v>
      </c>
      <c r="T114" t="str">
        <f t="shared" si="11"/>
        <v>M.N.</v>
      </c>
      <c r="U114" t="str">
        <f t="shared" si="12"/>
        <v>Warszawa-K999</v>
      </c>
      <c r="V114" t="str">
        <f t="shared" si="15"/>
        <v>09-12-2024</v>
      </c>
      <c r="W114" t="str">
        <f t="shared" si="13"/>
        <v>w realizacji</v>
      </c>
      <c r="X114" s="22" t="e">
        <f t="shared" si="14"/>
        <v>#N/A</v>
      </c>
    </row>
    <row r="115" spans="1:24" x14ac:dyDescent="0.25">
      <c r="A115" s="6" t="s">
        <v>267</v>
      </c>
      <c r="B115" s="7">
        <v>45439</v>
      </c>
      <c r="C115" s="6" t="s">
        <v>110</v>
      </c>
      <c r="D115" s="6" t="s">
        <v>74</v>
      </c>
      <c r="E115" s="6" t="s">
        <v>108</v>
      </c>
      <c r="F115" s="6" t="s">
        <v>34</v>
      </c>
      <c r="G115" s="6">
        <v>1</v>
      </c>
      <c r="H115" s="8">
        <v>10.31</v>
      </c>
      <c r="I115" s="8">
        <v>10.31</v>
      </c>
      <c r="J115" s="6" t="s">
        <v>171</v>
      </c>
      <c r="K115" s="6" t="s">
        <v>65</v>
      </c>
      <c r="L115" t="str" cm="1">
        <f t="array" ref="L115">_xlfn.IFS(G115&gt;6,"Duże zamówienie",G115&lt;=6,"Standardowe")</f>
        <v>Standardowe</v>
      </c>
      <c r="M115" t="str" cm="1">
        <f t="array" ref="M115">_xlfn.IFS(AND(C115="Warszawa",G115&gt;5),"Wysoki",OR(C115="Warszawa",C115="Kraków"),"Średni",TRUE,"Niski")</f>
        <v>Niski</v>
      </c>
      <c r="N115" t="str">
        <f>_xlfn.XLOOKUP(F115,Produkty!$A$2:$A$15,Produkty!$B$2:$B$15,"Brak w katalogu")</f>
        <v>Americano</v>
      </c>
      <c r="O115" t="str">
        <f>_xlfn.XLOOKUP(N115,Produkty!$B$2:$B$15,Produkty!$C$2:$C$15,"Brak w katalogu")</f>
        <v>Napoje gorące</v>
      </c>
      <c r="P115" s="15">
        <f>_xlfn.XLOOKUP(Dane!F115,Produkty!$A$2:$A$15,Produkty!$D$2:$D$15)</f>
        <v>11</v>
      </c>
      <c r="Q115" s="15">
        <f t="shared" si="8"/>
        <v>0.6899999999999995</v>
      </c>
      <c r="R115" t="str">
        <f t="shared" si="9"/>
        <v>Pawel Mazur</v>
      </c>
      <c r="S115" t="str">
        <f t="shared" si="10"/>
        <v>kawiarnia.pl</v>
      </c>
      <c r="T115" t="str">
        <f t="shared" si="11"/>
        <v>P.M.</v>
      </c>
      <c r="U115" t="str">
        <f t="shared" si="12"/>
        <v>Wrocław-K004</v>
      </c>
      <c r="V115" t="str">
        <f t="shared" si="15"/>
        <v>27-05-2024</v>
      </c>
      <c r="W115" t="str">
        <f t="shared" si="13"/>
        <v>nowe</v>
      </c>
      <c r="X115" s="22">
        <f t="shared" si="14"/>
        <v>6.2727272727272687E-2</v>
      </c>
    </row>
    <row r="116" spans="1:24" x14ac:dyDescent="0.25">
      <c r="A116" s="6" t="s">
        <v>268</v>
      </c>
      <c r="B116" s="7">
        <v>45598</v>
      </c>
      <c r="C116" s="6" t="s">
        <v>52</v>
      </c>
      <c r="D116" s="6" t="s">
        <v>46</v>
      </c>
      <c r="E116" s="6" t="s">
        <v>83</v>
      </c>
      <c r="F116" s="6" t="s">
        <v>96</v>
      </c>
      <c r="G116" s="6">
        <v>4</v>
      </c>
      <c r="H116" s="8">
        <v>8.5299999999999994</v>
      </c>
      <c r="I116" s="8">
        <v>34.119999999999997</v>
      </c>
      <c r="J116" s="6" t="s">
        <v>239</v>
      </c>
      <c r="K116" s="6" t="s">
        <v>43</v>
      </c>
      <c r="L116" t="str" cm="1">
        <f t="array" ref="L116">_xlfn.IFS(G116&gt;6,"Duże zamówienie",G116&lt;=6,"Standardowe")</f>
        <v>Standardowe</v>
      </c>
      <c r="M116" t="str" cm="1">
        <f t="array" ref="M116">_xlfn.IFS(AND(C116="Warszawa",G116&gt;5),"Wysoki",OR(C116="Warszawa",C116="Kraków"),"Średni",TRUE,"Niski")</f>
        <v>Średni</v>
      </c>
      <c r="N116" t="str">
        <f>_xlfn.XLOOKUP(F116,Produkty!$A$2:$A$15,Produkty!$B$2:$B$15,"Brak w katalogu")</f>
        <v>Muffin czekoladowy</v>
      </c>
      <c r="O116" t="str">
        <f>_xlfn.XLOOKUP(N116,Produkty!$B$2:$B$15,Produkty!$C$2:$C$15,"Brak w katalogu")</f>
        <v>Wypieki</v>
      </c>
      <c r="P116" s="15">
        <f>_xlfn.XLOOKUP(Dane!F116,Produkty!$A$2:$A$15,Produkty!$D$2:$D$15)</f>
        <v>9</v>
      </c>
      <c r="Q116" s="15">
        <f t="shared" si="8"/>
        <v>0.47000000000000064</v>
      </c>
      <c r="R116" t="str">
        <f t="shared" si="9"/>
        <v>Bartosz Zajac</v>
      </c>
      <c r="S116" t="str">
        <f t="shared" si="10"/>
        <v>kawiarnia.pl</v>
      </c>
      <c r="T116" t="str">
        <f t="shared" si="11"/>
        <v>B.Z.</v>
      </c>
      <c r="U116" t="str">
        <f t="shared" si="12"/>
        <v>Warszawa-K011</v>
      </c>
      <c r="V116" t="str">
        <f t="shared" si="15"/>
        <v>02-11-2024</v>
      </c>
      <c r="W116" t="str">
        <f t="shared" si="13"/>
        <v>zakonczone</v>
      </c>
      <c r="X116" s="22">
        <f t="shared" si="14"/>
        <v>5.2222222222222295E-2</v>
      </c>
    </row>
    <row r="117" spans="1:24" x14ac:dyDescent="0.25">
      <c r="A117" s="6" t="s">
        <v>269</v>
      </c>
      <c r="B117" s="7">
        <v>45363</v>
      </c>
      <c r="C117" s="6" t="s">
        <v>38</v>
      </c>
      <c r="D117" s="6" t="s">
        <v>32</v>
      </c>
      <c r="E117" s="6" t="s">
        <v>170</v>
      </c>
      <c r="F117" s="6" t="s">
        <v>48</v>
      </c>
      <c r="G117" s="6">
        <v>9</v>
      </c>
      <c r="H117" s="8">
        <v>5.81</v>
      </c>
      <c r="I117" s="8">
        <v>52.29</v>
      </c>
      <c r="J117" s="6" t="s">
        <v>93</v>
      </c>
      <c r="K117" s="6" t="s">
        <v>61</v>
      </c>
      <c r="L117" t="str" cm="1">
        <f t="array" ref="L117">_xlfn.IFS(G117&gt;6,"Duże zamówienie",G117&lt;=6,"Standardowe")</f>
        <v>Duże zamówienie</v>
      </c>
      <c r="M117" t="str" cm="1">
        <f t="array" ref="M117">_xlfn.IFS(AND(C117="Warszawa",G117&gt;5),"Wysoki",OR(C117="Warszawa",C117="Kraków"),"Średni",TRUE,"Niski")</f>
        <v>Niski</v>
      </c>
      <c r="N117" t="str">
        <f>_xlfn.XLOOKUP(F117,Produkty!$A$2:$A$15,Produkty!$B$2:$B$15,"Brak w katalogu")</f>
        <v>Batonik musli</v>
      </c>
      <c r="O117" t="str">
        <f>_xlfn.XLOOKUP(N117,Produkty!$B$2:$B$15,Produkty!$C$2:$C$15,"Brak w katalogu")</f>
        <v>Przekąski</v>
      </c>
      <c r="P117" s="15">
        <f>_xlfn.XLOOKUP(Dane!F117,Produkty!$A$2:$A$15,Produkty!$D$2:$D$15)</f>
        <v>6</v>
      </c>
      <c r="Q117" s="15">
        <f t="shared" si="8"/>
        <v>0.19000000000000039</v>
      </c>
      <c r="R117" t="str">
        <f t="shared" si="9"/>
        <v>Natalia Krawczyk</v>
      </c>
      <c r="S117" t="str">
        <f t="shared" si="10"/>
        <v>kawiarnia.pl</v>
      </c>
      <c r="T117" t="str">
        <f t="shared" si="11"/>
        <v>N.K.</v>
      </c>
      <c r="U117" t="str">
        <f t="shared" si="12"/>
        <v>Gdańsk-K014</v>
      </c>
      <c r="V117" t="str">
        <f t="shared" si="15"/>
        <v>12-03-2024</v>
      </c>
      <c r="W117" t="str">
        <f t="shared" si="13"/>
        <v>w realizacji</v>
      </c>
      <c r="X117" s="22">
        <f t="shared" si="14"/>
        <v>3.1666666666666732E-2</v>
      </c>
    </row>
    <row r="118" spans="1:24" x14ac:dyDescent="0.25">
      <c r="A118" s="6" t="s">
        <v>270</v>
      </c>
      <c r="B118" s="7">
        <v>45520</v>
      </c>
      <c r="C118" s="6" t="s">
        <v>45</v>
      </c>
      <c r="D118" s="6" t="s">
        <v>74</v>
      </c>
      <c r="E118" s="6" t="s">
        <v>75</v>
      </c>
      <c r="F118" s="6" t="s">
        <v>219</v>
      </c>
      <c r="G118" s="6">
        <v>4</v>
      </c>
      <c r="H118" s="8">
        <v>12.37</v>
      </c>
      <c r="I118" s="8">
        <v>49.48</v>
      </c>
      <c r="J118" s="6" t="s">
        <v>271</v>
      </c>
      <c r="K118" s="6" t="s">
        <v>36</v>
      </c>
      <c r="L118" t="str" cm="1">
        <f t="array" ref="L118">_xlfn.IFS(G118&gt;6,"Duże zamówienie",G118&lt;=6,"Standardowe")</f>
        <v>Standardowe</v>
      </c>
      <c r="M118" t="str" cm="1">
        <f t="array" ref="M118">_xlfn.IFS(AND(C118="Warszawa",G118&gt;5),"Wysoki",OR(C118="Warszawa",C118="Kraków"),"Średni",TRUE,"Niski")</f>
        <v>Średni</v>
      </c>
      <c r="N118" t="str">
        <f>_xlfn.XLOOKUP(F118,Produkty!$A$2:$A$15,Produkty!$B$2:$B$15,"Brak w katalogu")</f>
        <v>Brak w katalogu</v>
      </c>
      <c r="O118" t="str">
        <f>_xlfn.XLOOKUP(N118,Produkty!$B$2:$B$15,Produkty!$C$2:$C$15,"Brak w katalogu")</f>
        <v>Brak w katalogu</v>
      </c>
      <c r="P118" s="15" t="e">
        <f>_xlfn.XLOOKUP(Dane!F118,Produkty!$A$2:$A$15,Produkty!$D$2:$D$15)</f>
        <v>#N/A</v>
      </c>
      <c r="Q118" s="15" t="e">
        <f t="shared" si="8"/>
        <v>#N/A</v>
      </c>
      <c r="R118" t="str">
        <f t="shared" si="9"/>
        <v>Pawel Mazur</v>
      </c>
      <c r="S118" t="str">
        <f t="shared" si="10"/>
        <v>kawiarnia.pl</v>
      </c>
      <c r="T118" t="str">
        <f t="shared" si="11"/>
        <v>P.M.</v>
      </c>
      <c r="U118" t="str">
        <f t="shared" si="12"/>
        <v>Kraków-K999</v>
      </c>
      <c r="V118" t="str">
        <f t="shared" si="15"/>
        <v>16-08-2024</v>
      </c>
      <c r="W118" t="str">
        <f t="shared" si="13"/>
        <v>w realizacji</v>
      </c>
      <c r="X118" s="22" t="e">
        <f t="shared" si="14"/>
        <v>#N/A</v>
      </c>
    </row>
    <row r="119" spans="1:24" x14ac:dyDescent="0.25">
      <c r="A119" s="6" t="s">
        <v>272</v>
      </c>
      <c r="B119" s="7">
        <v>45397</v>
      </c>
      <c r="C119" s="6" t="s">
        <v>52</v>
      </c>
      <c r="D119" s="6" t="s">
        <v>148</v>
      </c>
      <c r="E119" s="6" t="s">
        <v>149</v>
      </c>
      <c r="F119" s="6" t="s">
        <v>219</v>
      </c>
      <c r="G119" s="6">
        <v>4</v>
      </c>
      <c r="H119" s="8">
        <v>11.29</v>
      </c>
      <c r="I119" s="8">
        <v>45.16</v>
      </c>
      <c r="J119" s="6" t="s">
        <v>171</v>
      </c>
      <c r="K119" s="6" t="s">
        <v>65</v>
      </c>
      <c r="L119" t="str" cm="1">
        <f t="array" ref="L119">_xlfn.IFS(G119&gt;6,"Duże zamówienie",G119&lt;=6,"Standardowe")</f>
        <v>Standardowe</v>
      </c>
      <c r="M119" t="str" cm="1">
        <f t="array" ref="M119">_xlfn.IFS(AND(C119="Warszawa",G119&gt;5),"Wysoki",OR(C119="Warszawa",C119="Kraków"),"Średni",TRUE,"Niski")</f>
        <v>Średni</v>
      </c>
      <c r="N119" t="str">
        <f>_xlfn.XLOOKUP(F119,Produkty!$A$2:$A$15,Produkty!$B$2:$B$15,"Brak w katalogu")</f>
        <v>Brak w katalogu</v>
      </c>
      <c r="O119" t="str">
        <f>_xlfn.XLOOKUP(N119,Produkty!$B$2:$B$15,Produkty!$C$2:$C$15,"Brak w katalogu")</f>
        <v>Brak w katalogu</v>
      </c>
      <c r="P119" s="15" t="e">
        <f>_xlfn.XLOOKUP(Dane!F119,Produkty!$A$2:$A$15,Produkty!$D$2:$D$15)</f>
        <v>#N/A</v>
      </c>
      <c r="Q119" s="15" t="e">
        <f t="shared" si="8"/>
        <v>#N/A</v>
      </c>
      <c r="R119" t="str">
        <f t="shared" si="9"/>
        <v>Michal Nowicki</v>
      </c>
      <c r="S119" t="str">
        <f t="shared" si="10"/>
        <v>kawiarnia.pl</v>
      </c>
      <c r="T119" t="str">
        <f t="shared" si="11"/>
        <v>M.N.</v>
      </c>
      <c r="U119" t="str">
        <f t="shared" si="12"/>
        <v>Warszawa-K999</v>
      </c>
      <c r="V119" t="str">
        <f t="shared" si="15"/>
        <v>15-04-2024</v>
      </c>
      <c r="W119" t="str">
        <f t="shared" si="13"/>
        <v>nowe</v>
      </c>
      <c r="X119" s="22" t="e">
        <f t="shared" si="14"/>
        <v>#N/A</v>
      </c>
    </row>
    <row r="120" spans="1:24" x14ac:dyDescent="0.25">
      <c r="A120" s="6" t="s">
        <v>273</v>
      </c>
      <c r="B120" s="7">
        <v>45328</v>
      </c>
      <c r="C120" s="6" t="s">
        <v>52</v>
      </c>
      <c r="D120" s="6" t="s">
        <v>46</v>
      </c>
      <c r="E120" s="6" t="s">
        <v>83</v>
      </c>
      <c r="F120" s="6" t="s">
        <v>67</v>
      </c>
      <c r="G120" s="6">
        <v>2</v>
      </c>
      <c r="H120" s="8">
        <v>11.83</v>
      </c>
      <c r="I120" s="8">
        <v>23.66</v>
      </c>
      <c r="J120" s="6" t="s">
        <v>178</v>
      </c>
      <c r="K120" s="6" t="s">
        <v>36</v>
      </c>
      <c r="L120" t="str" cm="1">
        <f t="array" ref="L120">_xlfn.IFS(G120&gt;6,"Duże zamówienie",G120&lt;=6,"Standardowe")</f>
        <v>Standardowe</v>
      </c>
      <c r="M120" t="str" cm="1">
        <f t="array" ref="M120">_xlfn.IFS(AND(C120="Warszawa",G120&gt;5),"Wysoki",OR(C120="Warszawa",C120="Kraków"),"Średni",TRUE,"Niski")</f>
        <v>Średni</v>
      </c>
      <c r="N120" t="str">
        <f>_xlfn.XLOOKUP(F120,Produkty!$A$2:$A$15,Produkty!$B$2:$B$15,"Brak w katalogu")</f>
        <v>Cappuccino</v>
      </c>
      <c r="O120" t="str">
        <f>_xlfn.XLOOKUP(N120,Produkty!$B$2:$B$15,Produkty!$C$2:$C$15,"Brak w katalogu")</f>
        <v>Napoje gorące</v>
      </c>
      <c r="P120" s="15">
        <f>_xlfn.XLOOKUP(Dane!F120,Produkty!$A$2:$A$15,Produkty!$D$2:$D$15)</f>
        <v>13</v>
      </c>
      <c r="Q120" s="15">
        <f t="shared" si="8"/>
        <v>1.17</v>
      </c>
      <c r="R120" t="str">
        <f t="shared" si="9"/>
        <v>Bartosz Zajac</v>
      </c>
      <c r="S120" t="str">
        <f t="shared" si="10"/>
        <v>kawiarnia.pl</v>
      </c>
      <c r="T120" t="str">
        <f t="shared" si="11"/>
        <v>B.Z.</v>
      </c>
      <c r="U120" t="str">
        <f t="shared" si="12"/>
        <v>Warszawa-K002</v>
      </c>
      <c r="V120" t="str">
        <f t="shared" si="15"/>
        <v>06-02-2024</v>
      </c>
      <c r="W120" t="str">
        <f t="shared" si="13"/>
        <v>w realizacji</v>
      </c>
      <c r="X120" s="22">
        <f t="shared" si="14"/>
        <v>0.09</v>
      </c>
    </row>
    <row r="121" spans="1:24" x14ac:dyDescent="0.25">
      <c r="A121" s="6" t="s">
        <v>274</v>
      </c>
      <c r="B121" s="7">
        <v>45429</v>
      </c>
      <c r="C121" s="6" t="s">
        <v>110</v>
      </c>
      <c r="D121" s="6" t="s">
        <v>111</v>
      </c>
      <c r="E121" s="6" t="s">
        <v>162</v>
      </c>
      <c r="F121" s="6" t="s">
        <v>59</v>
      </c>
      <c r="G121" s="6">
        <v>1</v>
      </c>
      <c r="H121" s="8">
        <v>14.46</v>
      </c>
      <c r="I121" s="8">
        <v>14.46</v>
      </c>
      <c r="J121" s="6" t="s">
        <v>207</v>
      </c>
      <c r="K121" s="6" t="s">
        <v>61</v>
      </c>
      <c r="L121" t="str" cm="1">
        <f t="array" ref="L121">_xlfn.IFS(G121&gt;6,"Duże zamówienie",G121&lt;=6,"Standardowe")</f>
        <v>Standardowe</v>
      </c>
      <c r="M121" t="str" cm="1">
        <f t="array" ref="M121">_xlfn.IFS(AND(C121="Warszawa",G121&gt;5),"Wysoki",OR(C121="Warszawa",C121="Kraków"),"Średni",TRUE,"Niski")</f>
        <v>Niski</v>
      </c>
      <c r="N121" t="str">
        <f>_xlfn.XLOOKUP(F121,Produkty!$A$2:$A$15,Produkty!$B$2:$B$15,"Brak w katalogu")</f>
        <v>Sernik</v>
      </c>
      <c r="O121" t="str">
        <f>_xlfn.XLOOKUP(N121,Produkty!$B$2:$B$15,Produkty!$C$2:$C$15,"Brak w katalogu")</f>
        <v>Wypieki</v>
      </c>
      <c r="P121" s="15">
        <f>_xlfn.XLOOKUP(Dane!F121,Produkty!$A$2:$A$15,Produkty!$D$2:$D$15)</f>
        <v>15</v>
      </c>
      <c r="Q121" s="15">
        <f t="shared" si="8"/>
        <v>0.53999999999999915</v>
      </c>
      <c r="R121" t="str">
        <f t="shared" si="9"/>
        <v>Julia Jankowska</v>
      </c>
      <c r="S121" t="str">
        <f t="shared" si="10"/>
        <v>kawiarnia.pl</v>
      </c>
      <c r="T121" t="str">
        <f t="shared" si="11"/>
        <v>J.J.</v>
      </c>
      <c r="U121" t="str">
        <f t="shared" si="12"/>
        <v>Wrocław-K010</v>
      </c>
      <c r="V121" t="str">
        <f t="shared" si="15"/>
        <v>17-05-2024</v>
      </c>
      <c r="W121" t="str">
        <f t="shared" si="13"/>
        <v>w realizacji</v>
      </c>
      <c r="X121" s="22">
        <f t="shared" si="14"/>
        <v>3.5999999999999942E-2</v>
      </c>
    </row>
    <row r="122" spans="1:24" x14ac:dyDescent="0.25">
      <c r="A122" s="6" t="s">
        <v>275</v>
      </c>
      <c r="B122" s="7">
        <v>45554</v>
      </c>
      <c r="C122" s="6" t="s">
        <v>31</v>
      </c>
      <c r="D122" s="6" t="s">
        <v>111</v>
      </c>
      <c r="E122" s="6" t="s">
        <v>162</v>
      </c>
      <c r="F122" s="6" t="s">
        <v>113</v>
      </c>
      <c r="G122" s="6">
        <v>5</v>
      </c>
      <c r="H122" s="8">
        <v>16.98</v>
      </c>
      <c r="I122" s="8">
        <v>84.9</v>
      </c>
      <c r="J122" s="6" t="s">
        <v>134</v>
      </c>
      <c r="K122" s="6" t="s">
        <v>50</v>
      </c>
      <c r="L122" t="str" cm="1">
        <f t="array" ref="L122">_xlfn.IFS(G122&gt;6,"Duże zamówienie",G122&lt;=6,"Standardowe")</f>
        <v>Standardowe</v>
      </c>
      <c r="M122" t="str" cm="1">
        <f t="array" ref="M122">_xlfn.IFS(AND(C122="Warszawa",G122&gt;5),"Wysoki",OR(C122="Warszawa",C122="Kraków"),"Średni",TRUE,"Niski")</f>
        <v>Niski</v>
      </c>
      <c r="N122" t="str">
        <f>_xlfn.XLOOKUP(F122,Produkty!$A$2:$A$15,Produkty!$B$2:$B$15,"Brak w katalogu")</f>
        <v>Bagietka z szynką</v>
      </c>
      <c r="O122" t="str">
        <f>_xlfn.XLOOKUP(N122,Produkty!$B$2:$B$15,Produkty!$C$2:$C$15,"Brak w katalogu")</f>
        <v>Przekąski</v>
      </c>
      <c r="P122" s="15">
        <f>_xlfn.XLOOKUP(Dane!F122,Produkty!$A$2:$A$15,Produkty!$D$2:$D$15)</f>
        <v>17</v>
      </c>
      <c r="Q122" s="15">
        <f t="shared" si="8"/>
        <v>1.9999999999999574E-2</v>
      </c>
      <c r="R122" t="str">
        <f t="shared" si="9"/>
        <v>Julia Jankowska</v>
      </c>
      <c r="S122" t="str">
        <f t="shared" si="10"/>
        <v>kawiarnia.pl</v>
      </c>
      <c r="T122" t="str">
        <f t="shared" si="11"/>
        <v>J.J.</v>
      </c>
      <c r="U122" t="str">
        <f t="shared" si="12"/>
        <v>Poznań-K012</v>
      </c>
      <c r="V122" t="str">
        <f t="shared" si="15"/>
        <v>19-09-2024</v>
      </c>
      <c r="W122" t="str">
        <f t="shared" si="13"/>
        <v>zakonczone</v>
      </c>
      <c r="X122" s="22">
        <f t="shared" si="14"/>
        <v>1.1764705882352691E-3</v>
      </c>
    </row>
    <row r="123" spans="1:24" x14ac:dyDescent="0.25">
      <c r="A123" s="6" t="s">
        <v>276</v>
      </c>
      <c r="B123" s="7">
        <v>45313</v>
      </c>
      <c r="C123" s="6" t="s">
        <v>45</v>
      </c>
      <c r="D123" s="6" t="s">
        <v>32</v>
      </c>
      <c r="E123" s="6" t="s">
        <v>170</v>
      </c>
      <c r="F123" s="6" t="s">
        <v>84</v>
      </c>
      <c r="G123" s="6">
        <v>12</v>
      </c>
      <c r="H123" s="8">
        <v>15.96</v>
      </c>
      <c r="I123" s="8">
        <v>191.52</v>
      </c>
      <c r="J123" s="6" t="s">
        <v>277</v>
      </c>
      <c r="K123" s="6" t="s">
        <v>78</v>
      </c>
      <c r="L123" t="str" cm="1">
        <f t="array" ref="L123">_xlfn.IFS(G123&gt;6,"Duże zamówienie",G123&lt;=6,"Standardowe")</f>
        <v>Duże zamówienie</v>
      </c>
      <c r="M123" t="str" cm="1">
        <f t="array" ref="M123">_xlfn.IFS(AND(C123="Warszawa",G123&gt;5),"Wysoki",OR(C123="Warszawa",C123="Kraków"),"Średni",TRUE,"Niski")</f>
        <v>Średni</v>
      </c>
      <c r="N123" t="str">
        <f>_xlfn.XLOOKUP(F123,Produkty!$A$2:$A$15,Produkty!$B$2:$B$15,"Brak w katalogu")</f>
        <v>Mrożona kawa</v>
      </c>
      <c r="O123" t="str">
        <f>_xlfn.XLOOKUP(N123,Produkty!$B$2:$B$15,Produkty!$C$2:$C$15,"Brak w katalogu")</f>
        <v>Napoje zimne</v>
      </c>
      <c r="P123" s="15">
        <f>_xlfn.XLOOKUP(Dane!F123,Produkty!$A$2:$A$15,Produkty!$D$2:$D$15)</f>
        <v>16</v>
      </c>
      <c r="Q123" s="15">
        <f t="shared" si="8"/>
        <v>3.9999999999999147E-2</v>
      </c>
      <c r="R123" t="str">
        <f t="shared" si="9"/>
        <v>Natalia Krawczyk</v>
      </c>
      <c r="S123" t="str">
        <f t="shared" si="10"/>
        <v>kawiarnia.pl</v>
      </c>
      <c r="T123" t="str">
        <f t="shared" si="11"/>
        <v>N.K.</v>
      </c>
      <c r="U123" t="str">
        <f t="shared" si="12"/>
        <v>Kraków-K006</v>
      </c>
      <c r="V123" t="str">
        <f t="shared" si="15"/>
        <v>22-01-2024</v>
      </c>
      <c r="W123" t="str">
        <f t="shared" si="13"/>
        <v>nowe</v>
      </c>
      <c r="X123" s="22">
        <f t="shared" si="14"/>
        <v>2.4999999999999467E-3</v>
      </c>
    </row>
    <row r="124" spans="1:24" x14ac:dyDescent="0.25">
      <c r="A124" s="6" t="s">
        <v>278</v>
      </c>
      <c r="B124" s="7">
        <v>45348</v>
      </c>
      <c r="C124" s="6" t="s">
        <v>110</v>
      </c>
      <c r="D124" s="6" t="s">
        <v>70</v>
      </c>
      <c r="E124" s="6" t="s">
        <v>228</v>
      </c>
      <c r="F124" s="6" t="s">
        <v>102</v>
      </c>
      <c r="G124" s="6">
        <v>3</v>
      </c>
      <c r="H124" s="8">
        <v>8.75</v>
      </c>
      <c r="I124" s="8">
        <v>26.25</v>
      </c>
      <c r="J124" s="6" t="s">
        <v>279</v>
      </c>
      <c r="K124" s="6" t="s">
        <v>61</v>
      </c>
      <c r="L124" t="str" cm="1">
        <f t="array" ref="L124">_xlfn.IFS(G124&gt;6,"Duże zamówienie",G124&lt;=6,"Standardowe")</f>
        <v>Standardowe</v>
      </c>
      <c r="M124" t="str" cm="1">
        <f t="array" ref="M124">_xlfn.IFS(AND(C124="Warszawa",G124&gt;5),"Wysoki",OR(C124="Warszawa",C124="Kraków"),"Średni",TRUE,"Niski")</f>
        <v>Niski</v>
      </c>
      <c r="N124" t="str">
        <f>_xlfn.XLOOKUP(F124,Produkty!$A$2:$A$15,Produkty!$B$2:$B$15,"Brak w katalogu")</f>
        <v>Espresso</v>
      </c>
      <c r="O124" t="str">
        <f>_xlfn.XLOOKUP(N124,Produkty!$B$2:$B$15,Produkty!$C$2:$C$15,"Brak w katalogu")</f>
        <v>Napoje gorące</v>
      </c>
      <c r="P124" s="15">
        <f>_xlfn.XLOOKUP(Dane!F124,Produkty!$A$2:$A$15,Produkty!$D$2:$D$15)</f>
        <v>9</v>
      </c>
      <c r="Q124" s="15">
        <f t="shared" si="8"/>
        <v>0.25</v>
      </c>
      <c r="R124" t="str">
        <f t="shared" si="9"/>
        <v>Kamil Wozniak</v>
      </c>
      <c r="S124" t="str">
        <f t="shared" si="10"/>
        <v>kawiarnia.pl</v>
      </c>
      <c r="T124" t="str">
        <f t="shared" si="11"/>
        <v>K.W.</v>
      </c>
      <c r="U124" t="str">
        <f t="shared" si="12"/>
        <v>Wrocław-K001</v>
      </c>
      <c r="V124" t="str">
        <f t="shared" si="15"/>
        <v>26-02-2024</v>
      </c>
      <c r="W124" t="str">
        <f t="shared" si="13"/>
        <v>w realizacji</v>
      </c>
      <c r="X124" s="22">
        <f t="shared" si="14"/>
        <v>2.7777777777777776E-2</v>
      </c>
    </row>
    <row r="125" spans="1:24" x14ac:dyDescent="0.25">
      <c r="A125" s="6" t="s">
        <v>280</v>
      </c>
      <c r="B125" s="7">
        <v>45395</v>
      </c>
      <c r="C125" s="6" t="s">
        <v>45</v>
      </c>
      <c r="D125" s="6" t="s">
        <v>46</v>
      </c>
      <c r="E125" s="6" t="s">
        <v>80</v>
      </c>
      <c r="F125" s="6" t="s">
        <v>67</v>
      </c>
      <c r="G125" s="6">
        <v>10</v>
      </c>
      <c r="H125" s="8">
        <v>13.47</v>
      </c>
      <c r="I125" s="8">
        <v>134.69999999999999</v>
      </c>
      <c r="J125" s="6" t="s">
        <v>281</v>
      </c>
      <c r="K125" s="6" t="s">
        <v>65</v>
      </c>
      <c r="L125" t="str" cm="1">
        <f t="array" ref="L125">_xlfn.IFS(G125&gt;6,"Duże zamówienie",G125&lt;=6,"Standardowe")</f>
        <v>Duże zamówienie</v>
      </c>
      <c r="M125" t="str" cm="1">
        <f t="array" ref="M125">_xlfn.IFS(AND(C125="Warszawa",G125&gt;5),"Wysoki",OR(C125="Warszawa",C125="Kraków"),"Średni",TRUE,"Niski")</f>
        <v>Średni</v>
      </c>
      <c r="N125" t="str">
        <f>_xlfn.XLOOKUP(F125,Produkty!$A$2:$A$15,Produkty!$B$2:$B$15,"Brak w katalogu")</f>
        <v>Cappuccino</v>
      </c>
      <c r="O125" t="str">
        <f>_xlfn.XLOOKUP(N125,Produkty!$B$2:$B$15,Produkty!$C$2:$C$15,"Brak w katalogu")</f>
        <v>Napoje gorące</v>
      </c>
      <c r="P125" s="15">
        <f>_xlfn.XLOOKUP(Dane!F125,Produkty!$A$2:$A$15,Produkty!$D$2:$D$15)</f>
        <v>13</v>
      </c>
      <c r="Q125" s="15">
        <f t="shared" si="8"/>
        <v>-0.47000000000000064</v>
      </c>
      <c r="R125" t="str">
        <f t="shared" si="9"/>
        <v>Bartosz Zajac</v>
      </c>
      <c r="S125" t="str">
        <f t="shared" si="10"/>
        <v>kawiarnia.pl</v>
      </c>
      <c r="T125" t="str">
        <f t="shared" si="11"/>
        <v>B.Z.</v>
      </c>
      <c r="U125" t="str">
        <f t="shared" si="12"/>
        <v>Kraków-K002</v>
      </c>
      <c r="V125" t="str">
        <f t="shared" si="15"/>
        <v>13-04-2024</v>
      </c>
      <c r="W125" t="str">
        <f t="shared" si="13"/>
        <v>nowe</v>
      </c>
      <c r="X125" s="22">
        <f t="shared" si="14"/>
        <v>-3.6153846153846203E-2</v>
      </c>
    </row>
    <row r="126" spans="1:24" x14ac:dyDescent="0.25">
      <c r="A126" s="6" t="s">
        <v>282</v>
      </c>
      <c r="B126" s="7">
        <v>45415</v>
      </c>
      <c r="C126" s="6" t="s">
        <v>45</v>
      </c>
      <c r="D126" s="6" t="s">
        <v>148</v>
      </c>
      <c r="E126" s="6" t="s">
        <v>177</v>
      </c>
      <c r="F126" s="6" t="s">
        <v>96</v>
      </c>
      <c r="G126" s="6">
        <v>10</v>
      </c>
      <c r="H126" s="8">
        <v>8.7100000000000009</v>
      </c>
      <c r="I126" s="8">
        <v>87.1</v>
      </c>
      <c r="J126" s="6" t="s">
        <v>142</v>
      </c>
      <c r="K126" s="6" t="s">
        <v>36</v>
      </c>
      <c r="L126" t="str" cm="1">
        <f t="array" ref="L126">_xlfn.IFS(G126&gt;6,"Duże zamówienie",G126&lt;=6,"Standardowe")</f>
        <v>Duże zamówienie</v>
      </c>
      <c r="M126" t="str" cm="1">
        <f t="array" ref="M126">_xlfn.IFS(AND(C126="Warszawa",G126&gt;5),"Wysoki",OR(C126="Warszawa",C126="Kraków"),"Średni",TRUE,"Niski")</f>
        <v>Średni</v>
      </c>
      <c r="N126" t="str">
        <f>_xlfn.XLOOKUP(F126,Produkty!$A$2:$A$15,Produkty!$B$2:$B$15,"Brak w katalogu")</f>
        <v>Muffin czekoladowy</v>
      </c>
      <c r="O126" t="str">
        <f>_xlfn.XLOOKUP(N126,Produkty!$B$2:$B$15,Produkty!$C$2:$C$15,"Brak w katalogu")</f>
        <v>Wypieki</v>
      </c>
      <c r="P126" s="15">
        <f>_xlfn.XLOOKUP(Dane!F126,Produkty!$A$2:$A$15,Produkty!$D$2:$D$15)</f>
        <v>9</v>
      </c>
      <c r="Q126" s="15">
        <f t="shared" si="8"/>
        <v>0.28999999999999915</v>
      </c>
      <c r="R126" t="str">
        <f t="shared" si="9"/>
        <v>Michal Nowicki</v>
      </c>
      <c r="S126" t="str">
        <f t="shared" si="10"/>
        <v>kawiarnia.pl</v>
      </c>
      <c r="T126" t="str">
        <f t="shared" si="11"/>
        <v>M.N.</v>
      </c>
      <c r="U126" t="str">
        <f t="shared" si="12"/>
        <v>Kraków-K011</v>
      </c>
      <c r="V126" t="str">
        <f t="shared" si="15"/>
        <v>03-05-2024</v>
      </c>
      <c r="W126" t="str">
        <f t="shared" si="13"/>
        <v>w realizacji</v>
      </c>
      <c r="X126" s="22">
        <f t="shared" si="14"/>
        <v>3.2222222222222124E-2</v>
      </c>
    </row>
    <row r="127" spans="1:24" x14ac:dyDescent="0.25">
      <c r="A127" s="6" t="s">
        <v>283</v>
      </c>
      <c r="B127" s="7">
        <v>45587</v>
      </c>
      <c r="C127" s="6" t="s">
        <v>110</v>
      </c>
      <c r="D127" s="6" t="s">
        <v>53</v>
      </c>
      <c r="E127" s="6" t="s">
        <v>105</v>
      </c>
      <c r="F127" s="6" t="s">
        <v>113</v>
      </c>
      <c r="G127" s="6">
        <v>8</v>
      </c>
      <c r="H127" s="8">
        <v>16.670000000000002</v>
      </c>
      <c r="I127" s="8">
        <v>133.36000000000001</v>
      </c>
      <c r="J127" s="6" t="s">
        <v>284</v>
      </c>
      <c r="K127" s="6" t="s">
        <v>78</v>
      </c>
      <c r="L127" t="str" cm="1">
        <f t="array" ref="L127">_xlfn.IFS(G127&gt;6,"Duże zamówienie",G127&lt;=6,"Standardowe")</f>
        <v>Duże zamówienie</v>
      </c>
      <c r="M127" t="str" cm="1">
        <f t="array" ref="M127">_xlfn.IFS(AND(C127="Warszawa",G127&gt;5),"Wysoki",OR(C127="Warszawa",C127="Kraków"),"Średni",TRUE,"Niski")</f>
        <v>Niski</v>
      </c>
      <c r="N127" t="str">
        <f>_xlfn.XLOOKUP(F127,Produkty!$A$2:$A$15,Produkty!$B$2:$B$15,"Brak w katalogu")</f>
        <v>Bagietka z szynką</v>
      </c>
      <c r="O127" t="str">
        <f>_xlfn.XLOOKUP(N127,Produkty!$B$2:$B$15,Produkty!$C$2:$C$15,"Brak w katalogu")</f>
        <v>Przekąski</v>
      </c>
      <c r="P127" s="15">
        <f>_xlfn.XLOOKUP(Dane!F127,Produkty!$A$2:$A$15,Produkty!$D$2:$D$15)</f>
        <v>17</v>
      </c>
      <c r="Q127" s="15">
        <f t="shared" si="8"/>
        <v>0.32999999999999829</v>
      </c>
      <c r="R127" t="str">
        <f t="shared" si="9"/>
        <v>Weronika Duda</v>
      </c>
      <c r="S127" t="str">
        <f t="shared" si="10"/>
        <v>kawiarnia.pl</v>
      </c>
      <c r="T127" t="str">
        <f t="shared" si="11"/>
        <v>W.D.</v>
      </c>
      <c r="U127" t="str">
        <f t="shared" si="12"/>
        <v>Wrocław-K012</v>
      </c>
      <c r="V127" t="str">
        <f t="shared" si="15"/>
        <v>22-10-2024</v>
      </c>
      <c r="W127" t="str">
        <f t="shared" si="13"/>
        <v>nowe</v>
      </c>
      <c r="X127" s="22">
        <f t="shared" si="14"/>
        <v>1.9411764705882253E-2</v>
      </c>
    </row>
    <row r="128" spans="1:24" x14ac:dyDescent="0.25">
      <c r="A128" s="6" t="s">
        <v>285</v>
      </c>
      <c r="B128" s="7">
        <v>45417</v>
      </c>
      <c r="C128" s="6" t="s">
        <v>38</v>
      </c>
      <c r="D128" s="6" t="s">
        <v>39</v>
      </c>
      <c r="E128" s="6" t="s">
        <v>192</v>
      </c>
      <c r="F128" s="6" t="s">
        <v>96</v>
      </c>
      <c r="G128" s="6">
        <v>2</v>
      </c>
      <c r="H128" s="8">
        <v>8.33</v>
      </c>
      <c r="I128" s="8">
        <v>16.66</v>
      </c>
      <c r="J128" s="6" t="s">
        <v>286</v>
      </c>
      <c r="K128" s="6" t="s">
        <v>50</v>
      </c>
      <c r="L128" t="str" cm="1">
        <f t="array" ref="L128">_xlfn.IFS(G128&gt;6,"Duże zamówienie",G128&lt;=6,"Standardowe")</f>
        <v>Standardowe</v>
      </c>
      <c r="M128" t="str" cm="1">
        <f t="array" ref="M128">_xlfn.IFS(AND(C128="Warszawa",G128&gt;5),"Wysoki",OR(C128="Warszawa",C128="Kraków"),"Średni",TRUE,"Niski")</f>
        <v>Niski</v>
      </c>
      <c r="N128" t="str">
        <f>_xlfn.XLOOKUP(F128,Produkty!$A$2:$A$15,Produkty!$B$2:$B$15,"Brak w katalogu")</f>
        <v>Muffin czekoladowy</v>
      </c>
      <c r="O128" t="str">
        <f>_xlfn.XLOOKUP(N128,Produkty!$B$2:$B$15,Produkty!$C$2:$C$15,"Brak w katalogu")</f>
        <v>Wypieki</v>
      </c>
      <c r="P128" s="15">
        <f>_xlfn.XLOOKUP(Dane!F128,Produkty!$A$2:$A$15,Produkty!$D$2:$D$15)</f>
        <v>9</v>
      </c>
      <c r="Q128" s="15">
        <f t="shared" si="8"/>
        <v>0.66999999999999993</v>
      </c>
      <c r="R128" t="str">
        <f t="shared" si="9"/>
        <v>Aleksandra Kowal</v>
      </c>
      <c r="S128" t="str">
        <f t="shared" si="10"/>
        <v>kawiarnia.pl</v>
      </c>
      <c r="T128" t="str">
        <f t="shared" si="11"/>
        <v>A.K.</v>
      </c>
      <c r="U128" t="str">
        <f t="shared" si="12"/>
        <v>Gdańsk-K011</v>
      </c>
      <c r="V128" t="str">
        <f t="shared" si="15"/>
        <v>05-05-2024</v>
      </c>
      <c r="W128" t="str">
        <f t="shared" si="13"/>
        <v>zakonczone</v>
      </c>
      <c r="X128" s="22">
        <f t="shared" si="14"/>
        <v>7.4444444444444438E-2</v>
      </c>
    </row>
    <row r="129" spans="1:24" x14ac:dyDescent="0.25">
      <c r="A129" s="6" t="s">
        <v>287</v>
      </c>
      <c r="B129" s="7">
        <v>45356</v>
      </c>
      <c r="C129" s="6" t="s">
        <v>38</v>
      </c>
      <c r="D129" s="6" t="s">
        <v>70</v>
      </c>
      <c r="E129" s="6" t="s">
        <v>228</v>
      </c>
      <c r="F129" s="6" t="s">
        <v>102</v>
      </c>
      <c r="G129" s="6">
        <v>5</v>
      </c>
      <c r="H129" s="8">
        <v>8.6199999999999992</v>
      </c>
      <c r="I129" s="8">
        <v>43.1</v>
      </c>
      <c r="J129" s="6" t="s">
        <v>163</v>
      </c>
      <c r="K129" s="6" t="s">
        <v>43</v>
      </c>
      <c r="L129" t="str" cm="1">
        <f t="array" ref="L129">_xlfn.IFS(G129&gt;6,"Duże zamówienie",G129&lt;=6,"Standardowe")</f>
        <v>Standardowe</v>
      </c>
      <c r="M129" t="str" cm="1">
        <f t="array" ref="M129">_xlfn.IFS(AND(C129="Warszawa",G129&gt;5),"Wysoki",OR(C129="Warszawa",C129="Kraków"),"Średni",TRUE,"Niski")</f>
        <v>Niski</v>
      </c>
      <c r="N129" t="str">
        <f>_xlfn.XLOOKUP(F129,Produkty!$A$2:$A$15,Produkty!$B$2:$B$15,"Brak w katalogu")</f>
        <v>Espresso</v>
      </c>
      <c r="O129" t="str">
        <f>_xlfn.XLOOKUP(N129,Produkty!$B$2:$B$15,Produkty!$C$2:$C$15,"Brak w katalogu")</f>
        <v>Napoje gorące</v>
      </c>
      <c r="P129" s="15">
        <f>_xlfn.XLOOKUP(Dane!F129,Produkty!$A$2:$A$15,Produkty!$D$2:$D$15)</f>
        <v>9</v>
      </c>
      <c r="Q129" s="15">
        <f t="shared" si="8"/>
        <v>0.38000000000000078</v>
      </c>
      <c r="R129" t="str">
        <f t="shared" si="9"/>
        <v>Kamil Wozniak</v>
      </c>
      <c r="S129" t="str">
        <f t="shared" si="10"/>
        <v>kawiarnia.pl</v>
      </c>
      <c r="T129" t="str">
        <f t="shared" si="11"/>
        <v>K.W.</v>
      </c>
      <c r="U129" t="str">
        <f t="shared" si="12"/>
        <v>Gdańsk-K001</v>
      </c>
      <c r="V129" t="str">
        <f t="shared" si="15"/>
        <v>05-03-2024</v>
      </c>
      <c r="W129" t="str">
        <f t="shared" si="13"/>
        <v>zakonczone</v>
      </c>
      <c r="X129" s="22">
        <f t="shared" si="14"/>
        <v>4.2222222222222307E-2</v>
      </c>
    </row>
    <row r="130" spans="1:24" x14ac:dyDescent="0.25">
      <c r="A130" s="6" t="s">
        <v>288</v>
      </c>
      <c r="B130" s="7">
        <v>45598</v>
      </c>
      <c r="C130" s="6" t="s">
        <v>52</v>
      </c>
      <c r="D130" s="6" t="s">
        <v>39</v>
      </c>
      <c r="E130" s="6" t="s">
        <v>40</v>
      </c>
      <c r="F130" s="6" t="s">
        <v>88</v>
      </c>
      <c r="G130" s="6">
        <v>12</v>
      </c>
      <c r="H130" s="8">
        <v>7.5</v>
      </c>
      <c r="I130" s="8">
        <v>90</v>
      </c>
      <c r="J130" s="6" t="s">
        <v>212</v>
      </c>
      <c r="K130" s="6" t="s">
        <v>61</v>
      </c>
      <c r="L130" t="str" cm="1">
        <f t="array" ref="L130">_xlfn.IFS(G130&gt;6,"Duże zamówienie",G130&lt;=6,"Standardowe")</f>
        <v>Duże zamówienie</v>
      </c>
      <c r="M130" t="str" cm="1">
        <f t="array" ref="M130">_xlfn.IFS(AND(C130="Warszawa",G130&gt;5),"Wysoki",OR(C130="Warszawa",C130="Kraków"),"Średni",TRUE,"Niski")</f>
        <v>Wysoki</v>
      </c>
      <c r="N130" t="str">
        <f>_xlfn.XLOOKUP(F130,Produkty!$A$2:$A$15,Produkty!$B$2:$B$15,"Brak w katalogu")</f>
        <v>Croissant</v>
      </c>
      <c r="O130" t="str">
        <f>_xlfn.XLOOKUP(N130,Produkty!$B$2:$B$15,Produkty!$C$2:$C$15,"Brak w katalogu")</f>
        <v>Wypieki</v>
      </c>
      <c r="P130" s="15">
        <f>_xlfn.XLOOKUP(Dane!F130,Produkty!$A$2:$A$15,Produkty!$D$2:$D$15)</f>
        <v>8</v>
      </c>
      <c r="Q130" s="15">
        <f t="shared" si="8"/>
        <v>0.5</v>
      </c>
      <c r="R130" t="str">
        <f t="shared" si="9"/>
        <v>Aleksandra Kowal</v>
      </c>
      <c r="S130" t="str">
        <f t="shared" si="10"/>
        <v>kawiarnia.pl</v>
      </c>
      <c r="T130" t="str">
        <f t="shared" si="11"/>
        <v>A.K.</v>
      </c>
      <c r="U130" t="str">
        <f t="shared" si="12"/>
        <v>Warszawa-K009</v>
      </c>
      <c r="V130" t="str">
        <f t="shared" si="15"/>
        <v>02-11-2024</v>
      </c>
      <c r="W130" t="str">
        <f t="shared" si="13"/>
        <v>w realizacji</v>
      </c>
      <c r="X130" s="22">
        <f t="shared" si="14"/>
        <v>6.25E-2</v>
      </c>
    </row>
    <row r="131" spans="1:24" x14ac:dyDescent="0.25">
      <c r="A131" s="6" t="s">
        <v>289</v>
      </c>
      <c r="B131" s="7">
        <v>45614</v>
      </c>
      <c r="C131" s="6" t="s">
        <v>31</v>
      </c>
      <c r="D131" s="6" t="s">
        <v>111</v>
      </c>
      <c r="E131" s="6" t="s">
        <v>112</v>
      </c>
      <c r="F131" s="6" t="s">
        <v>63</v>
      </c>
      <c r="G131" s="6">
        <v>6</v>
      </c>
      <c r="H131" s="8">
        <v>13.38</v>
      </c>
      <c r="I131" s="8">
        <v>80.28</v>
      </c>
      <c r="J131" s="6" t="s">
        <v>290</v>
      </c>
      <c r="K131" s="6" t="s">
        <v>61</v>
      </c>
      <c r="L131" t="str" cm="1">
        <f t="array" ref="L131">_xlfn.IFS(G131&gt;6,"Duże zamówienie",G131&lt;=6,"Standardowe")</f>
        <v>Standardowe</v>
      </c>
      <c r="M131" t="str" cm="1">
        <f t="array" ref="M131">_xlfn.IFS(AND(C131="Warszawa",G131&gt;5),"Wysoki",OR(C131="Warszawa",C131="Kraków"),"Średni",TRUE,"Niski")</f>
        <v>Niski</v>
      </c>
      <c r="N131" t="str">
        <f>_xlfn.XLOOKUP(F131,Produkty!$A$2:$A$15,Produkty!$B$2:$B$15,"Brak w katalogu")</f>
        <v>Latte</v>
      </c>
      <c r="O131" t="str">
        <f>_xlfn.XLOOKUP(N131,Produkty!$B$2:$B$15,Produkty!$C$2:$C$15,"Brak w katalogu")</f>
        <v>Napoje gorące</v>
      </c>
      <c r="P131" s="15">
        <f>_xlfn.XLOOKUP(Dane!F131,Produkty!$A$2:$A$15,Produkty!$D$2:$D$15)</f>
        <v>14</v>
      </c>
      <c r="Q131" s="15">
        <f t="shared" ref="Q131:Q141" si="16">SUM(P131-H131)</f>
        <v>0.61999999999999922</v>
      </c>
      <c r="R131" t="str">
        <f t="shared" ref="R131:R141" si="17">TRIM(PROPER(D131))</f>
        <v>Julia Jankowska</v>
      </c>
      <c r="S131" t="str">
        <f t="shared" ref="S131:S141" si="18">LOWER(TRIM(_xlfn.TEXTAFTER(E131,"@")))</f>
        <v>kawiarnia.pl</v>
      </c>
      <c r="T131" t="str">
        <f t="shared" ref="T131:T141" si="19">_xlfn.CONCAT(LEFT(R131,1),".",LEFT(_xlfn.TEXTAFTER(R131," "),"1"),".")</f>
        <v>J.J.</v>
      </c>
      <c r="U131" t="str">
        <f t="shared" ref="U131:U141" si="20">_xlfn.CONCAT(C131,"-",F131)</f>
        <v>Poznań-K003</v>
      </c>
      <c r="V131" t="str">
        <f t="shared" si="15"/>
        <v>18-11-2024</v>
      </c>
      <c r="W131" t="str">
        <f t="shared" ref="W131:W141" si="21">TRIM(LOWER(K131))</f>
        <v>w realizacji</v>
      </c>
      <c r="X131" s="22">
        <f t="shared" ref="X131:X141" si="22">Q131/P131</f>
        <v>4.4285714285714227E-2</v>
      </c>
    </row>
    <row r="132" spans="1:24" x14ac:dyDescent="0.25">
      <c r="A132" s="6" t="s">
        <v>291</v>
      </c>
      <c r="B132" s="7">
        <v>45634</v>
      </c>
      <c r="C132" s="6" t="s">
        <v>110</v>
      </c>
      <c r="D132" s="6" t="s">
        <v>74</v>
      </c>
      <c r="E132" s="6" t="s">
        <v>108</v>
      </c>
      <c r="F132" s="6" t="s">
        <v>59</v>
      </c>
      <c r="G132" s="6">
        <v>2</v>
      </c>
      <c r="H132" s="8">
        <v>15.15</v>
      </c>
      <c r="I132" s="8">
        <v>30.3</v>
      </c>
      <c r="J132" s="6" t="s">
        <v>243</v>
      </c>
      <c r="K132" s="6" t="s">
        <v>36</v>
      </c>
      <c r="L132" t="str" cm="1">
        <f t="array" ref="L132">_xlfn.IFS(G132&gt;6,"Duże zamówienie",G132&lt;=6,"Standardowe")</f>
        <v>Standardowe</v>
      </c>
      <c r="M132" t="str" cm="1">
        <f t="array" ref="M132">_xlfn.IFS(AND(C132="Warszawa",G132&gt;5),"Wysoki",OR(C132="Warszawa",C132="Kraków"),"Średni",TRUE,"Niski")</f>
        <v>Niski</v>
      </c>
      <c r="N132" t="str">
        <f>_xlfn.XLOOKUP(F132,Produkty!$A$2:$A$15,Produkty!$B$2:$B$15,"Brak w katalogu")</f>
        <v>Sernik</v>
      </c>
      <c r="O132" t="str">
        <f>_xlfn.XLOOKUP(N132,Produkty!$B$2:$B$15,Produkty!$C$2:$C$15,"Brak w katalogu")</f>
        <v>Wypieki</v>
      </c>
      <c r="P132" s="15">
        <f>_xlfn.XLOOKUP(Dane!F132,Produkty!$A$2:$A$15,Produkty!$D$2:$D$15)</f>
        <v>15</v>
      </c>
      <c r="Q132" s="15">
        <f t="shared" si="16"/>
        <v>-0.15000000000000036</v>
      </c>
      <c r="R132" t="str">
        <f t="shared" si="17"/>
        <v>Pawel Mazur</v>
      </c>
      <c r="S132" t="str">
        <f t="shared" si="18"/>
        <v>kawiarnia.pl</v>
      </c>
      <c r="T132" t="str">
        <f t="shared" si="19"/>
        <v>P.M.</v>
      </c>
      <c r="U132" t="str">
        <f t="shared" si="20"/>
        <v>Wrocław-K010</v>
      </c>
      <c r="V132" t="str">
        <f t="shared" ref="V132:V141" si="23">TEXT(B132,"dd-mm-rrrr")</f>
        <v>08-12-2024</v>
      </c>
      <c r="W132" t="str">
        <f t="shared" si="21"/>
        <v>w realizacji</v>
      </c>
      <c r="X132" s="22">
        <f t="shared" si="22"/>
        <v>-1.0000000000000024E-2</v>
      </c>
    </row>
    <row r="133" spans="1:24" x14ac:dyDescent="0.25">
      <c r="A133" s="6" t="s">
        <v>292</v>
      </c>
      <c r="B133" s="7">
        <v>45585</v>
      </c>
      <c r="C133" s="6" t="s">
        <v>45</v>
      </c>
      <c r="D133" s="6" t="s">
        <v>53</v>
      </c>
      <c r="E133" s="6" t="s">
        <v>54</v>
      </c>
      <c r="F133" s="6" t="s">
        <v>153</v>
      </c>
      <c r="G133" s="6">
        <v>3</v>
      </c>
      <c r="H133" s="8">
        <v>16.78</v>
      </c>
      <c r="I133" s="8">
        <v>50.34</v>
      </c>
      <c r="J133" s="6" t="s">
        <v>97</v>
      </c>
      <c r="K133" s="6" t="s">
        <v>43</v>
      </c>
      <c r="L133" t="str" cm="1">
        <f t="array" ref="L133">_xlfn.IFS(G133&gt;6,"Duże zamówienie",G133&lt;=6,"Standardowe")</f>
        <v>Standardowe</v>
      </c>
      <c r="M133" t="str" cm="1">
        <f t="array" ref="M133">_xlfn.IFS(AND(C133="Warszawa",G133&gt;5),"Wysoki",OR(C133="Warszawa",C133="Kraków"),"Średni",TRUE,"Niski")</f>
        <v>Średni</v>
      </c>
      <c r="N133" t="str">
        <f>_xlfn.XLOOKUP(F133,Produkty!$A$2:$A$15,Produkty!$B$2:$B$15,"Brak w katalogu")</f>
        <v>Smoothie owocowe</v>
      </c>
      <c r="O133" t="str">
        <f>_xlfn.XLOOKUP(N133,Produkty!$B$2:$B$15,Produkty!$C$2:$C$15,"Brak w katalogu")</f>
        <v>Napoje zimne</v>
      </c>
      <c r="P133" s="15">
        <f>_xlfn.XLOOKUP(Dane!F133,Produkty!$A$2:$A$15,Produkty!$D$2:$D$15)</f>
        <v>18</v>
      </c>
      <c r="Q133" s="15">
        <f t="shared" si="16"/>
        <v>1.2199999999999989</v>
      </c>
      <c r="R133" t="str">
        <f t="shared" si="17"/>
        <v>Weronika Duda</v>
      </c>
      <c r="S133" t="str">
        <f t="shared" si="18"/>
        <v>kawiarnia.pl</v>
      </c>
      <c r="T133" t="str">
        <f t="shared" si="19"/>
        <v>W.D.</v>
      </c>
      <c r="U133" t="str">
        <f t="shared" si="20"/>
        <v>Kraków-K008</v>
      </c>
      <c r="V133" t="str">
        <f t="shared" si="23"/>
        <v>20-10-2024</v>
      </c>
      <c r="W133" t="str">
        <f t="shared" si="21"/>
        <v>zakonczone</v>
      </c>
      <c r="X133" s="22">
        <f t="shared" si="22"/>
        <v>6.7777777777777715E-2</v>
      </c>
    </row>
    <row r="134" spans="1:24" x14ac:dyDescent="0.25">
      <c r="A134" s="6" t="s">
        <v>293</v>
      </c>
      <c r="B134" s="7">
        <v>45306</v>
      </c>
      <c r="C134" s="6" t="s">
        <v>38</v>
      </c>
      <c r="D134" s="6" t="s">
        <v>53</v>
      </c>
      <c r="E134" s="6" t="s">
        <v>54</v>
      </c>
      <c r="F134" s="6" t="s">
        <v>219</v>
      </c>
      <c r="G134" s="6">
        <v>6</v>
      </c>
      <c r="H134" s="8">
        <v>10.83</v>
      </c>
      <c r="I134" s="8">
        <v>64.98</v>
      </c>
      <c r="J134" s="6" t="s">
        <v>86</v>
      </c>
      <c r="K134" s="6" t="s">
        <v>61</v>
      </c>
      <c r="L134" t="str" cm="1">
        <f t="array" ref="L134">_xlfn.IFS(G134&gt;6,"Duże zamówienie",G134&lt;=6,"Standardowe")</f>
        <v>Standardowe</v>
      </c>
      <c r="M134" t="str" cm="1">
        <f t="array" ref="M134">_xlfn.IFS(AND(C134="Warszawa",G134&gt;5),"Wysoki",OR(C134="Warszawa",C134="Kraków"),"Średni",TRUE,"Niski")</f>
        <v>Niski</v>
      </c>
      <c r="N134" t="str">
        <f>_xlfn.XLOOKUP(F134,Produkty!$A$2:$A$15,Produkty!$B$2:$B$15,"Brak w katalogu")</f>
        <v>Brak w katalogu</v>
      </c>
      <c r="O134" t="str">
        <f>_xlfn.XLOOKUP(N134,Produkty!$B$2:$B$15,Produkty!$C$2:$C$15,"Brak w katalogu")</f>
        <v>Brak w katalogu</v>
      </c>
      <c r="P134" s="15" t="e">
        <f>_xlfn.XLOOKUP(Dane!F134,Produkty!$A$2:$A$15,Produkty!$D$2:$D$15)</f>
        <v>#N/A</v>
      </c>
      <c r="Q134" s="15" t="e">
        <f t="shared" si="16"/>
        <v>#N/A</v>
      </c>
      <c r="R134" t="str">
        <f t="shared" si="17"/>
        <v>Weronika Duda</v>
      </c>
      <c r="S134" t="str">
        <f t="shared" si="18"/>
        <v>kawiarnia.pl</v>
      </c>
      <c r="T134" t="str">
        <f t="shared" si="19"/>
        <v>W.D.</v>
      </c>
      <c r="U134" t="str">
        <f t="shared" si="20"/>
        <v>Gdańsk-K999</v>
      </c>
      <c r="V134" t="str">
        <f t="shared" si="23"/>
        <v>15-01-2024</v>
      </c>
      <c r="W134" t="str">
        <f t="shared" si="21"/>
        <v>w realizacji</v>
      </c>
      <c r="X134" s="22" t="e">
        <f t="shared" si="22"/>
        <v>#N/A</v>
      </c>
    </row>
    <row r="135" spans="1:24" x14ac:dyDescent="0.25">
      <c r="A135" s="6" t="s">
        <v>294</v>
      </c>
      <c r="B135" s="7">
        <v>45610</v>
      </c>
      <c r="C135" s="6" t="s">
        <v>38</v>
      </c>
      <c r="D135" s="6" t="s">
        <v>74</v>
      </c>
      <c r="E135" s="6" t="s">
        <v>75</v>
      </c>
      <c r="F135" s="6" t="s">
        <v>41</v>
      </c>
      <c r="G135" s="6">
        <v>9</v>
      </c>
      <c r="H135" s="8">
        <v>12.32</v>
      </c>
      <c r="I135" s="8">
        <v>110.88</v>
      </c>
      <c r="J135" s="6" t="s">
        <v>166</v>
      </c>
      <c r="K135" s="6" t="s">
        <v>61</v>
      </c>
      <c r="L135" t="str" cm="1">
        <f t="array" ref="L135">_xlfn.IFS(G135&gt;6,"Duże zamówienie",G135&lt;=6,"Standardowe")</f>
        <v>Duże zamówienie</v>
      </c>
      <c r="M135" t="str" cm="1">
        <f t="array" ref="M135">_xlfn.IFS(AND(C135="Warszawa",G135&gt;5),"Wysoki",OR(C135="Warszawa",C135="Kraków"),"Średni",TRUE,"Niski")</f>
        <v>Niski</v>
      </c>
      <c r="N135" t="str">
        <f>_xlfn.XLOOKUP(F135,Produkty!$A$2:$A$15,Produkty!$B$2:$B$15,"Brak w katalogu")</f>
        <v>Lemoniada</v>
      </c>
      <c r="O135" t="str">
        <f>_xlfn.XLOOKUP(N135,Produkty!$B$2:$B$15,Produkty!$C$2:$C$15,"Brak w katalogu")</f>
        <v>Napoje zimne</v>
      </c>
      <c r="P135" s="15">
        <f>_xlfn.XLOOKUP(Dane!F135,Produkty!$A$2:$A$15,Produkty!$D$2:$D$15)</f>
        <v>12</v>
      </c>
      <c r="Q135" s="15">
        <f t="shared" si="16"/>
        <v>-0.32000000000000028</v>
      </c>
      <c r="R135" t="str">
        <f t="shared" si="17"/>
        <v>Pawel Mazur</v>
      </c>
      <c r="S135" t="str">
        <f t="shared" si="18"/>
        <v>kawiarnia.pl</v>
      </c>
      <c r="T135" t="str">
        <f t="shared" si="19"/>
        <v>P.M.</v>
      </c>
      <c r="U135" t="str">
        <f t="shared" si="20"/>
        <v>Gdańsk-K007</v>
      </c>
      <c r="V135" t="str">
        <f t="shared" si="23"/>
        <v>14-11-2024</v>
      </c>
      <c r="W135" t="str">
        <f t="shared" si="21"/>
        <v>w realizacji</v>
      </c>
      <c r="X135" s="22">
        <f t="shared" si="22"/>
        <v>-2.6666666666666689E-2</v>
      </c>
    </row>
    <row r="136" spans="1:24" x14ac:dyDescent="0.25">
      <c r="A136" s="6" t="s">
        <v>295</v>
      </c>
      <c r="B136" s="7">
        <v>45566</v>
      </c>
      <c r="C136" s="6" t="s">
        <v>110</v>
      </c>
      <c r="D136" s="6" t="s">
        <v>32</v>
      </c>
      <c r="E136" s="6" t="s">
        <v>170</v>
      </c>
      <c r="F136" s="6" t="s">
        <v>76</v>
      </c>
      <c r="G136" s="6">
        <v>9</v>
      </c>
      <c r="H136" s="8">
        <v>20.14</v>
      </c>
      <c r="I136" s="8">
        <v>181.26</v>
      </c>
      <c r="J136" s="6" t="s">
        <v>91</v>
      </c>
      <c r="K136" s="6" t="s">
        <v>50</v>
      </c>
      <c r="L136" t="str" cm="1">
        <f t="array" ref="L136">_xlfn.IFS(G136&gt;6,"Duże zamówienie",G136&lt;=6,"Standardowe")</f>
        <v>Duże zamówienie</v>
      </c>
      <c r="M136" t="str" cm="1">
        <f t="array" ref="M136">_xlfn.IFS(AND(C136="Warszawa",G136&gt;5),"Wysoki",OR(C136="Warszawa",C136="Kraków"),"Średni",TRUE,"Niski")</f>
        <v>Niski</v>
      </c>
      <c r="N136" t="str">
        <f>_xlfn.XLOOKUP(F136,Produkty!$A$2:$A$15,Produkty!$B$2:$B$15,"Brak w katalogu")</f>
        <v>Sałatka Cesar</v>
      </c>
      <c r="O136" t="str">
        <f>_xlfn.XLOOKUP(N136,Produkty!$B$2:$B$15,Produkty!$C$2:$C$15,"Brak w katalogu")</f>
        <v>Przekąski</v>
      </c>
      <c r="P136" s="15">
        <f>_xlfn.XLOOKUP(Dane!F136,Produkty!$A$2:$A$15,Produkty!$D$2:$D$15)</f>
        <v>22</v>
      </c>
      <c r="Q136" s="15">
        <f t="shared" si="16"/>
        <v>1.8599999999999994</v>
      </c>
      <c r="R136" t="str">
        <f t="shared" si="17"/>
        <v>Natalia Krawczyk</v>
      </c>
      <c r="S136" t="str">
        <f t="shared" si="18"/>
        <v>kawiarnia.pl</v>
      </c>
      <c r="T136" t="str">
        <f t="shared" si="19"/>
        <v>N.K.</v>
      </c>
      <c r="U136" t="str">
        <f t="shared" si="20"/>
        <v>Wrocław-K013</v>
      </c>
      <c r="V136" t="str">
        <f t="shared" si="23"/>
        <v>01-10-2024</v>
      </c>
      <c r="W136" t="str">
        <f t="shared" si="21"/>
        <v>zakonczone</v>
      </c>
      <c r="X136" s="22">
        <f t="shared" si="22"/>
        <v>8.4545454545454521E-2</v>
      </c>
    </row>
    <row r="137" spans="1:24" x14ac:dyDescent="0.25">
      <c r="A137" s="6" t="s">
        <v>296</v>
      </c>
      <c r="B137" s="7">
        <v>45514</v>
      </c>
      <c r="C137" s="6" t="s">
        <v>110</v>
      </c>
      <c r="D137" s="6" t="s">
        <v>70</v>
      </c>
      <c r="E137" s="6" t="s">
        <v>228</v>
      </c>
      <c r="F137" s="6" t="s">
        <v>113</v>
      </c>
      <c r="G137" s="6">
        <v>8</v>
      </c>
      <c r="H137" s="8">
        <v>17.84</v>
      </c>
      <c r="I137" s="8">
        <v>142.72</v>
      </c>
      <c r="J137" s="6" t="s">
        <v>277</v>
      </c>
      <c r="K137" s="6" t="s">
        <v>65</v>
      </c>
      <c r="L137" t="str" cm="1">
        <f t="array" ref="L137">_xlfn.IFS(G137&gt;6,"Duże zamówienie",G137&lt;=6,"Standardowe")</f>
        <v>Duże zamówienie</v>
      </c>
      <c r="M137" t="str" cm="1">
        <f t="array" ref="M137">_xlfn.IFS(AND(C137="Warszawa",G137&gt;5),"Wysoki",OR(C137="Warszawa",C137="Kraków"),"Średni",TRUE,"Niski")</f>
        <v>Niski</v>
      </c>
      <c r="N137" t="str">
        <f>_xlfn.XLOOKUP(F137,Produkty!$A$2:$A$15,Produkty!$B$2:$B$15,"Brak w katalogu")</f>
        <v>Bagietka z szynką</v>
      </c>
      <c r="O137" t="str">
        <f>_xlfn.XLOOKUP(N137,Produkty!$B$2:$B$15,Produkty!$C$2:$C$15,"Brak w katalogu")</f>
        <v>Przekąski</v>
      </c>
      <c r="P137" s="15">
        <f>_xlfn.XLOOKUP(Dane!F137,Produkty!$A$2:$A$15,Produkty!$D$2:$D$15)</f>
        <v>17</v>
      </c>
      <c r="Q137" s="15">
        <f t="shared" si="16"/>
        <v>-0.83999999999999986</v>
      </c>
      <c r="R137" t="str">
        <f t="shared" si="17"/>
        <v>Kamil Wozniak</v>
      </c>
      <c r="S137" t="str">
        <f t="shared" si="18"/>
        <v>kawiarnia.pl</v>
      </c>
      <c r="T137" t="str">
        <f t="shared" si="19"/>
        <v>K.W.</v>
      </c>
      <c r="U137" t="str">
        <f t="shared" si="20"/>
        <v>Wrocław-K012</v>
      </c>
      <c r="V137" t="str">
        <f t="shared" si="23"/>
        <v>10-08-2024</v>
      </c>
      <c r="W137" t="str">
        <f t="shared" si="21"/>
        <v>nowe</v>
      </c>
      <c r="X137" s="22">
        <f t="shared" si="22"/>
        <v>-4.9411764705882343E-2</v>
      </c>
    </row>
    <row r="138" spans="1:24" x14ac:dyDescent="0.25">
      <c r="A138" s="6" t="s">
        <v>297</v>
      </c>
      <c r="B138" s="7">
        <v>45524</v>
      </c>
      <c r="C138" s="6" t="s">
        <v>38</v>
      </c>
      <c r="D138" s="6" t="s">
        <v>111</v>
      </c>
      <c r="E138" s="6" t="s">
        <v>162</v>
      </c>
      <c r="F138" s="6" t="s">
        <v>67</v>
      </c>
      <c r="G138" s="6">
        <v>12</v>
      </c>
      <c r="H138" s="8">
        <v>13.02</v>
      </c>
      <c r="I138" s="8">
        <v>156.24</v>
      </c>
      <c r="J138" s="6" t="s">
        <v>253</v>
      </c>
      <c r="K138" s="6" t="s">
        <v>65</v>
      </c>
      <c r="L138" t="str" cm="1">
        <f t="array" ref="L138">_xlfn.IFS(G138&gt;6,"Duże zamówienie",G138&lt;=6,"Standardowe")</f>
        <v>Duże zamówienie</v>
      </c>
      <c r="M138" t="str" cm="1">
        <f t="array" ref="M138">_xlfn.IFS(AND(C138="Warszawa",G138&gt;5),"Wysoki",OR(C138="Warszawa",C138="Kraków"),"Średni",TRUE,"Niski")</f>
        <v>Niski</v>
      </c>
      <c r="N138" t="str">
        <f>_xlfn.XLOOKUP(F138,Produkty!$A$2:$A$15,Produkty!$B$2:$B$15,"Brak w katalogu")</f>
        <v>Cappuccino</v>
      </c>
      <c r="O138" t="str">
        <f>_xlfn.XLOOKUP(N138,Produkty!$B$2:$B$15,Produkty!$C$2:$C$15,"Brak w katalogu")</f>
        <v>Napoje gorące</v>
      </c>
      <c r="P138" s="15">
        <f>_xlfn.XLOOKUP(Dane!F138,Produkty!$A$2:$A$15,Produkty!$D$2:$D$15)</f>
        <v>13</v>
      </c>
      <c r="Q138" s="15">
        <f t="shared" si="16"/>
        <v>-1.9999999999999574E-2</v>
      </c>
      <c r="R138" t="str">
        <f t="shared" si="17"/>
        <v>Julia Jankowska</v>
      </c>
      <c r="S138" t="str">
        <f t="shared" si="18"/>
        <v>kawiarnia.pl</v>
      </c>
      <c r="T138" t="str">
        <f t="shared" si="19"/>
        <v>J.J.</v>
      </c>
      <c r="U138" t="str">
        <f t="shared" si="20"/>
        <v>Gdańsk-K002</v>
      </c>
      <c r="V138" t="str">
        <f t="shared" si="23"/>
        <v>20-08-2024</v>
      </c>
      <c r="W138" t="str">
        <f t="shared" si="21"/>
        <v>nowe</v>
      </c>
      <c r="X138" s="22">
        <f t="shared" si="22"/>
        <v>-1.5384615384615057E-3</v>
      </c>
    </row>
    <row r="139" spans="1:24" x14ac:dyDescent="0.25">
      <c r="A139" s="6" t="s">
        <v>298</v>
      </c>
      <c r="B139" s="7">
        <v>45374</v>
      </c>
      <c r="C139" s="6" t="s">
        <v>45</v>
      </c>
      <c r="D139" s="6" t="s">
        <v>74</v>
      </c>
      <c r="E139" s="6" t="s">
        <v>75</v>
      </c>
      <c r="F139" s="6" t="s">
        <v>34</v>
      </c>
      <c r="G139" s="6">
        <v>10</v>
      </c>
      <c r="H139" s="8">
        <v>10.69</v>
      </c>
      <c r="I139" s="8">
        <v>106.9</v>
      </c>
      <c r="J139" s="6" t="s">
        <v>200</v>
      </c>
      <c r="K139" s="6" t="s">
        <v>43</v>
      </c>
      <c r="L139" t="str" cm="1">
        <f t="array" ref="L139">_xlfn.IFS(G139&gt;6,"Duże zamówienie",G139&lt;=6,"Standardowe")</f>
        <v>Duże zamówienie</v>
      </c>
      <c r="M139" t="str" cm="1">
        <f t="array" ref="M139">_xlfn.IFS(AND(C139="Warszawa",G139&gt;5),"Wysoki",OR(C139="Warszawa",C139="Kraków"),"Średni",TRUE,"Niski")</f>
        <v>Średni</v>
      </c>
      <c r="N139" t="str">
        <f>_xlfn.XLOOKUP(F139,Produkty!$A$2:$A$15,Produkty!$B$2:$B$15,"Brak w katalogu")</f>
        <v>Americano</v>
      </c>
      <c r="O139" t="str">
        <f>_xlfn.XLOOKUP(N139,Produkty!$B$2:$B$15,Produkty!$C$2:$C$15,"Brak w katalogu")</f>
        <v>Napoje gorące</v>
      </c>
      <c r="P139" s="15">
        <f>_xlfn.XLOOKUP(Dane!F139,Produkty!$A$2:$A$15,Produkty!$D$2:$D$15)</f>
        <v>11</v>
      </c>
      <c r="Q139" s="15">
        <f t="shared" si="16"/>
        <v>0.3100000000000005</v>
      </c>
      <c r="R139" t="str">
        <f t="shared" si="17"/>
        <v>Pawel Mazur</v>
      </c>
      <c r="S139" t="str">
        <f t="shared" si="18"/>
        <v>kawiarnia.pl</v>
      </c>
      <c r="T139" t="str">
        <f t="shared" si="19"/>
        <v>P.M.</v>
      </c>
      <c r="U139" t="str">
        <f t="shared" si="20"/>
        <v>Kraków-K004</v>
      </c>
      <c r="V139" t="str">
        <f t="shared" si="23"/>
        <v>23-03-2024</v>
      </c>
      <c r="W139" t="str">
        <f t="shared" si="21"/>
        <v>zakonczone</v>
      </c>
      <c r="X139" s="22">
        <f t="shared" si="22"/>
        <v>2.8181818181818228E-2</v>
      </c>
    </row>
    <row r="140" spans="1:24" x14ac:dyDescent="0.25">
      <c r="A140" s="6" t="s">
        <v>299</v>
      </c>
      <c r="B140" s="7">
        <v>45403</v>
      </c>
      <c r="C140" s="6" t="s">
        <v>31</v>
      </c>
      <c r="D140" s="6" t="s">
        <v>53</v>
      </c>
      <c r="E140" s="6" t="s">
        <v>54</v>
      </c>
      <c r="F140" s="6" t="s">
        <v>113</v>
      </c>
      <c r="G140" s="6">
        <v>1</v>
      </c>
      <c r="H140" s="8">
        <v>15.75</v>
      </c>
      <c r="I140" s="8">
        <v>15.75</v>
      </c>
      <c r="J140" s="6" t="s">
        <v>210</v>
      </c>
      <c r="K140" s="6" t="s">
        <v>65</v>
      </c>
      <c r="L140" t="str" cm="1">
        <f t="array" ref="L140">_xlfn.IFS(G140&gt;6,"Duże zamówienie",G140&lt;=6,"Standardowe")</f>
        <v>Standardowe</v>
      </c>
      <c r="M140" t="str" cm="1">
        <f t="array" ref="M140">_xlfn.IFS(AND(C140="Warszawa",G140&gt;5),"Wysoki",OR(C140="Warszawa",C140="Kraków"),"Średni",TRUE,"Niski")</f>
        <v>Niski</v>
      </c>
      <c r="N140" t="str">
        <f>_xlfn.XLOOKUP(F140,Produkty!$A$2:$A$15,Produkty!$B$2:$B$15,"Brak w katalogu")</f>
        <v>Bagietka z szynką</v>
      </c>
      <c r="O140" t="str">
        <f>_xlfn.XLOOKUP(N140,Produkty!$B$2:$B$15,Produkty!$C$2:$C$15,"Brak w katalogu")</f>
        <v>Przekąski</v>
      </c>
      <c r="P140" s="15">
        <f>_xlfn.XLOOKUP(Dane!F140,Produkty!$A$2:$A$15,Produkty!$D$2:$D$15)</f>
        <v>17</v>
      </c>
      <c r="Q140" s="15">
        <f t="shared" si="16"/>
        <v>1.25</v>
      </c>
      <c r="R140" t="str">
        <f t="shared" si="17"/>
        <v>Weronika Duda</v>
      </c>
      <c r="S140" t="str">
        <f t="shared" si="18"/>
        <v>kawiarnia.pl</v>
      </c>
      <c r="T140" t="str">
        <f t="shared" si="19"/>
        <v>W.D.</v>
      </c>
      <c r="U140" t="str">
        <f t="shared" si="20"/>
        <v>Poznań-K012</v>
      </c>
      <c r="V140" t="str">
        <f t="shared" si="23"/>
        <v>21-04-2024</v>
      </c>
      <c r="W140" t="str">
        <f t="shared" si="21"/>
        <v>nowe</v>
      </c>
      <c r="X140" s="22">
        <f t="shared" si="22"/>
        <v>7.3529411764705885E-2</v>
      </c>
    </row>
    <row r="141" spans="1:24" x14ac:dyDescent="0.25">
      <c r="A141" s="6" t="s">
        <v>300</v>
      </c>
      <c r="B141" s="7">
        <v>45334</v>
      </c>
      <c r="C141" s="6" t="s">
        <v>31</v>
      </c>
      <c r="D141" s="6" t="s">
        <v>46</v>
      </c>
      <c r="E141" s="6" t="s">
        <v>80</v>
      </c>
      <c r="F141" s="6" t="s">
        <v>59</v>
      </c>
      <c r="G141" s="6">
        <v>3</v>
      </c>
      <c r="H141" s="8">
        <v>13.97</v>
      </c>
      <c r="I141" s="8">
        <v>41.91</v>
      </c>
      <c r="J141" s="6" t="s">
        <v>301</v>
      </c>
      <c r="K141" s="6" t="s">
        <v>43</v>
      </c>
      <c r="L141" t="str" cm="1">
        <f t="array" ref="L141">_xlfn.IFS(G141&gt;6,"Duże zamówienie",G141&lt;=6,"Standardowe")</f>
        <v>Standardowe</v>
      </c>
      <c r="M141" t="str" cm="1">
        <f t="array" ref="M141">_xlfn.IFS(AND(C141="Warszawa",G141&gt;5),"Wysoki",OR(C141="Warszawa",C141="Kraków"),"Średni",TRUE,"Niski")</f>
        <v>Niski</v>
      </c>
      <c r="N141" t="str">
        <f>_xlfn.XLOOKUP(F141,Produkty!$A$2:$A$15,Produkty!$B$2:$B$15,"Brak w katalogu")</f>
        <v>Sernik</v>
      </c>
      <c r="O141" t="str">
        <f>_xlfn.XLOOKUP(N141,Produkty!$B$2:$B$15,Produkty!$C$2:$C$15,"Brak w katalogu")</f>
        <v>Wypieki</v>
      </c>
      <c r="P141" s="15">
        <f>_xlfn.XLOOKUP(Dane!F141,Produkty!$A$2:$A$15,Produkty!$D$2:$D$15)</f>
        <v>15</v>
      </c>
      <c r="Q141" s="15">
        <f t="shared" si="16"/>
        <v>1.0299999999999994</v>
      </c>
      <c r="R141" t="str">
        <f t="shared" si="17"/>
        <v>Bartosz Zajac</v>
      </c>
      <c r="S141" t="str">
        <f t="shared" si="18"/>
        <v>kawiarnia.pl</v>
      </c>
      <c r="T141" t="str">
        <f t="shared" si="19"/>
        <v>B.Z.</v>
      </c>
      <c r="U141" t="str">
        <f t="shared" si="20"/>
        <v>Poznań-K010</v>
      </c>
      <c r="V141" t="str">
        <f t="shared" si="23"/>
        <v>12-02-2024</v>
      </c>
      <c r="W141" t="str">
        <f t="shared" si="21"/>
        <v>zakonczone</v>
      </c>
      <c r="X141" s="22">
        <f t="shared" si="22"/>
        <v>6.8666666666666626E-2</v>
      </c>
    </row>
  </sheetData>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5"/>
  <sheetViews>
    <sheetView zoomScaleNormal="100" workbookViewId="0">
      <selection activeCell="B37" sqref="B37"/>
    </sheetView>
  </sheetViews>
  <sheetFormatPr defaultColWidth="8.7109375" defaultRowHeight="15" x14ac:dyDescent="0.25"/>
  <cols>
    <col min="1" max="1" width="12" customWidth="1"/>
    <col min="2" max="2" width="22" customWidth="1"/>
    <col min="3" max="4" width="16" customWidth="1"/>
  </cols>
  <sheetData>
    <row r="1" spans="1:4" x14ac:dyDescent="0.25">
      <c r="A1" s="9" t="s">
        <v>24</v>
      </c>
      <c r="B1" s="9" t="s">
        <v>302</v>
      </c>
      <c r="C1" s="9" t="s">
        <v>303</v>
      </c>
      <c r="D1" s="9" t="s">
        <v>304</v>
      </c>
    </row>
    <row r="2" spans="1:4" x14ac:dyDescent="0.25">
      <c r="A2" s="6" t="s">
        <v>102</v>
      </c>
      <c r="B2" s="6" t="s">
        <v>305</v>
      </c>
      <c r="C2" s="6" t="s">
        <v>306</v>
      </c>
      <c r="D2" s="8">
        <v>9</v>
      </c>
    </row>
    <row r="3" spans="1:4" x14ac:dyDescent="0.25">
      <c r="A3" s="6" t="s">
        <v>67</v>
      </c>
      <c r="B3" s="6" t="s">
        <v>307</v>
      </c>
      <c r="C3" s="6" t="s">
        <v>306</v>
      </c>
      <c r="D3" s="8">
        <v>13</v>
      </c>
    </row>
    <row r="4" spans="1:4" x14ac:dyDescent="0.25">
      <c r="A4" s="6" t="s">
        <v>63</v>
      </c>
      <c r="B4" s="6" t="s">
        <v>308</v>
      </c>
      <c r="C4" s="6" t="s">
        <v>306</v>
      </c>
      <c r="D4" s="8">
        <v>14</v>
      </c>
    </row>
    <row r="5" spans="1:4" x14ac:dyDescent="0.25">
      <c r="A5" s="6" t="s">
        <v>34</v>
      </c>
      <c r="B5" s="6" t="s">
        <v>309</v>
      </c>
      <c r="C5" s="6" t="s">
        <v>306</v>
      </c>
      <c r="D5" s="8">
        <v>11</v>
      </c>
    </row>
    <row r="6" spans="1:4" x14ac:dyDescent="0.25">
      <c r="A6" s="6" t="s">
        <v>55</v>
      </c>
      <c r="B6" s="6" t="s">
        <v>310</v>
      </c>
      <c r="C6" s="6" t="s">
        <v>306</v>
      </c>
      <c r="D6" s="8">
        <v>10</v>
      </c>
    </row>
    <row r="7" spans="1:4" x14ac:dyDescent="0.25">
      <c r="A7" s="6" t="s">
        <v>84</v>
      </c>
      <c r="B7" s="6" t="s">
        <v>311</v>
      </c>
      <c r="C7" s="6" t="s">
        <v>312</v>
      </c>
      <c r="D7" s="8">
        <v>16</v>
      </c>
    </row>
    <row r="8" spans="1:4" x14ac:dyDescent="0.25">
      <c r="A8" s="6" t="s">
        <v>41</v>
      </c>
      <c r="B8" s="6" t="s">
        <v>313</v>
      </c>
      <c r="C8" s="6" t="s">
        <v>312</v>
      </c>
      <c r="D8" s="8">
        <v>12</v>
      </c>
    </row>
    <row r="9" spans="1:4" x14ac:dyDescent="0.25">
      <c r="A9" s="6" t="s">
        <v>153</v>
      </c>
      <c r="B9" s="6" t="s">
        <v>314</v>
      </c>
      <c r="C9" s="6" t="s">
        <v>312</v>
      </c>
      <c r="D9" s="8">
        <v>18</v>
      </c>
    </row>
    <row r="10" spans="1:4" x14ac:dyDescent="0.25">
      <c r="A10" s="6" t="s">
        <v>88</v>
      </c>
      <c r="B10" s="6" t="s">
        <v>315</v>
      </c>
      <c r="C10" s="6" t="s">
        <v>316</v>
      </c>
      <c r="D10" s="8">
        <v>8</v>
      </c>
    </row>
    <row r="11" spans="1:4" x14ac:dyDescent="0.25">
      <c r="A11" s="6" t="s">
        <v>59</v>
      </c>
      <c r="B11" s="6" t="s">
        <v>317</v>
      </c>
      <c r="C11" s="6" t="s">
        <v>316</v>
      </c>
      <c r="D11" s="8">
        <v>15</v>
      </c>
    </row>
    <row r="12" spans="1:4" x14ac:dyDescent="0.25">
      <c r="A12" s="6" t="s">
        <v>96</v>
      </c>
      <c r="B12" s="6" t="s">
        <v>318</v>
      </c>
      <c r="C12" s="6" t="s">
        <v>316</v>
      </c>
      <c r="D12" s="8">
        <v>9</v>
      </c>
    </row>
    <row r="13" spans="1:4" x14ac:dyDescent="0.25">
      <c r="A13" s="6" t="s">
        <v>113</v>
      </c>
      <c r="B13" s="6" t="s">
        <v>319</v>
      </c>
      <c r="C13" s="6" t="s">
        <v>320</v>
      </c>
      <c r="D13" s="8">
        <v>17</v>
      </c>
    </row>
    <row r="14" spans="1:4" x14ac:dyDescent="0.25">
      <c r="A14" s="6" t="s">
        <v>76</v>
      </c>
      <c r="B14" s="6" t="s">
        <v>321</v>
      </c>
      <c r="C14" s="6" t="s">
        <v>320</v>
      </c>
      <c r="D14" s="8">
        <v>22</v>
      </c>
    </row>
    <row r="15" spans="1:4" x14ac:dyDescent="0.25">
      <c r="A15" s="6" t="s">
        <v>48</v>
      </c>
      <c r="B15" s="6" t="s">
        <v>322</v>
      </c>
      <c r="C15" s="6" t="s">
        <v>320</v>
      </c>
      <c r="D15" s="8">
        <v>6</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1"/>
  <sheetViews>
    <sheetView showGridLines="0" tabSelected="1" topLeftCell="A26" zoomScaleNormal="100" workbookViewId="0">
      <selection activeCell="B32" sqref="B32"/>
    </sheetView>
  </sheetViews>
  <sheetFormatPr defaultColWidth="8.7109375" defaultRowHeight="15" x14ac:dyDescent="0.25"/>
  <cols>
    <col min="1" max="1" width="3" customWidth="1"/>
    <col min="2" max="6" width="20" customWidth="1"/>
  </cols>
  <sheetData>
    <row r="1" spans="1:6" ht="25.5" customHeight="1" x14ac:dyDescent="0.25">
      <c r="A1" s="27" t="s">
        <v>323</v>
      </c>
      <c r="B1" s="27"/>
      <c r="C1" s="27"/>
      <c r="D1" s="27"/>
      <c r="E1" s="27"/>
      <c r="F1" s="27"/>
    </row>
    <row r="3" spans="1:6" x14ac:dyDescent="0.25">
      <c r="B3" s="3" t="s">
        <v>324</v>
      </c>
    </row>
    <row r="4" spans="1:6" ht="18" customHeight="1" x14ac:dyDescent="0.25">
      <c r="B4" s="26" t="s">
        <v>325</v>
      </c>
      <c r="C4" s="26"/>
      <c r="D4" s="26"/>
      <c r="E4" s="26"/>
      <c r="F4" s="26"/>
    </row>
    <row r="5" spans="1:6" x14ac:dyDescent="0.25">
      <c r="B5" s="10" t="s">
        <v>326</v>
      </c>
    </row>
    <row r="6" spans="1:6" ht="19.5" customHeight="1" x14ac:dyDescent="0.25">
      <c r="B6" s="12">
        <f>SUM(Dane!I2:I141)</f>
        <v>11322.519999999997</v>
      </c>
    </row>
    <row r="8" spans="1:6" x14ac:dyDescent="0.25">
      <c r="B8" s="3" t="s">
        <v>327</v>
      </c>
    </row>
    <row r="9" spans="1:6" ht="18" customHeight="1" x14ac:dyDescent="0.25">
      <c r="B9" s="26" t="s">
        <v>328</v>
      </c>
      <c r="C9" s="26"/>
      <c r="D9" s="26"/>
      <c r="E9" s="26"/>
      <c r="F9" s="26"/>
    </row>
    <row r="10" spans="1:6" x14ac:dyDescent="0.25">
      <c r="B10" s="10" t="s">
        <v>326</v>
      </c>
    </row>
    <row r="11" spans="1:6" ht="19.5" customHeight="1" x14ac:dyDescent="0.25">
      <c r="B11" s="12">
        <f>AVERAGE(Dane!I2:I141)</f>
        <v>80.875142857142833</v>
      </c>
    </row>
    <row r="13" spans="1:6" x14ac:dyDescent="0.25">
      <c r="B13" s="3" t="s">
        <v>329</v>
      </c>
    </row>
    <row r="14" spans="1:6" ht="27.75" customHeight="1" x14ac:dyDescent="0.25">
      <c r="B14" s="26" t="s">
        <v>330</v>
      </c>
      <c r="C14" s="26"/>
      <c r="D14" s="26"/>
      <c r="E14" s="26"/>
      <c r="F14" s="26"/>
    </row>
    <row r="15" spans="1:6" x14ac:dyDescent="0.25">
      <c r="B15" s="10" t="s">
        <v>326</v>
      </c>
    </row>
    <row r="16" spans="1:6" ht="19.5" customHeight="1" x14ac:dyDescent="0.25">
      <c r="B16" s="11">
        <f>ROUND(AVERAGE(Dane!G:G), 1)</f>
        <v>6.6</v>
      </c>
    </row>
    <row r="18" spans="2:6" x14ac:dyDescent="0.25">
      <c r="B18" s="3" t="s">
        <v>331</v>
      </c>
    </row>
    <row r="19" spans="2:6" ht="42" customHeight="1" x14ac:dyDescent="0.25">
      <c r="B19" s="26" t="s">
        <v>332</v>
      </c>
      <c r="C19" s="26"/>
      <c r="D19" s="26"/>
      <c r="E19" s="26"/>
      <c r="F19" s="26"/>
    </row>
    <row r="20" spans="2:6" x14ac:dyDescent="0.25">
      <c r="B20" s="10" t="s">
        <v>333</v>
      </c>
    </row>
    <row r="21" spans="2:6" ht="19.5" customHeight="1" x14ac:dyDescent="0.25">
      <c r="B21" s="11" t="str" cm="1">
        <f t="array" ref="B21">_xlfn.IFS(G2&gt;6,"Duże zamówienie",G2&lt;=6,"Standardowe")</f>
        <v>Standardowe</v>
      </c>
    </row>
    <row r="23" spans="2:6" x14ac:dyDescent="0.25">
      <c r="B23" s="3" t="s">
        <v>334</v>
      </c>
    </row>
    <row r="24" spans="2:6" ht="55.5" customHeight="1" x14ac:dyDescent="0.25">
      <c r="B24" s="26" t="s">
        <v>335</v>
      </c>
      <c r="C24" s="26"/>
      <c r="D24" s="26"/>
      <c r="E24" s="26"/>
      <c r="F24" s="26"/>
    </row>
    <row r="25" spans="2:6" x14ac:dyDescent="0.25">
      <c r="B25" s="10" t="s">
        <v>333</v>
      </c>
    </row>
    <row r="26" spans="2:6" ht="19.5" customHeight="1" x14ac:dyDescent="0.25">
      <c r="B26" s="11" t="str" cm="1">
        <f t="array" ref="B26">_xlfn.IFS(AND(C2="Warszawa",G2&gt;5),"Wysoki",OR(C2="Warszawa",C2="Kraków"),"Średni",TRUE,"Niski")</f>
        <v>Niski</v>
      </c>
    </row>
    <row r="28" spans="2:6" x14ac:dyDescent="0.25">
      <c r="B28" s="3" t="s">
        <v>336</v>
      </c>
    </row>
    <row r="29" spans="2:6" ht="42" customHeight="1" x14ac:dyDescent="0.25">
      <c r="B29" s="26" t="s">
        <v>337</v>
      </c>
      <c r="C29" s="26"/>
      <c r="D29" s="26"/>
      <c r="E29" s="26"/>
      <c r="F29" s="26"/>
    </row>
    <row r="30" spans="2:6" x14ac:dyDescent="0.25">
      <c r="B30" s="10" t="s">
        <v>326</v>
      </c>
    </row>
    <row r="31" spans="2:6" ht="19.5" customHeight="1" x14ac:dyDescent="0.25">
      <c r="B31" s="11" t="s">
        <v>451</v>
      </c>
    </row>
  </sheetData>
  <mergeCells count="7">
    <mergeCell ref="B24:F24"/>
    <mergeCell ref="B29:F29"/>
    <mergeCell ref="A1:F1"/>
    <mergeCell ref="B4:F4"/>
    <mergeCell ref="B9:F9"/>
    <mergeCell ref="B14:F14"/>
    <mergeCell ref="B19:F19"/>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6"/>
  <sheetViews>
    <sheetView showGridLines="0" zoomScaleNormal="100" workbookViewId="0">
      <selection activeCell="B6" sqref="B6"/>
    </sheetView>
  </sheetViews>
  <sheetFormatPr defaultColWidth="8.7109375" defaultRowHeight="15" x14ac:dyDescent="0.25"/>
  <cols>
    <col min="1" max="1" width="3" customWidth="1"/>
    <col min="2" max="6" width="20" customWidth="1"/>
  </cols>
  <sheetData>
    <row r="1" spans="1:6" ht="25.5" customHeight="1" x14ac:dyDescent="0.25">
      <c r="A1" s="27" t="s">
        <v>338</v>
      </c>
      <c r="B1" s="27"/>
      <c r="C1" s="27"/>
      <c r="D1" s="27"/>
      <c r="E1" s="27"/>
      <c r="F1" s="27"/>
    </row>
    <row r="3" spans="1:6" x14ac:dyDescent="0.25">
      <c r="B3" s="3" t="s">
        <v>339</v>
      </c>
    </row>
    <row r="4" spans="1:6" ht="27.75" customHeight="1" x14ac:dyDescent="0.25">
      <c r="B4" s="26" t="s">
        <v>340</v>
      </c>
      <c r="C4" s="26"/>
      <c r="D4" s="26"/>
      <c r="E4" s="26"/>
      <c r="F4" s="26"/>
    </row>
    <row r="5" spans="1:6" x14ac:dyDescent="0.25">
      <c r="B5" s="10" t="s">
        <v>341</v>
      </c>
    </row>
    <row r="6" spans="1:6" ht="19.5" customHeight="1" x14ac:dyDescent="0.25">
      <c r="B6" s="11" t="str">
        <f>VLOOKUP(Dane!F2,Produkty!$A$2:$B$15,2,FALSE)</f>
        <v>Americano</v>
      </c>
    </row>
    <row r="8" spans="1:6" x14ac:dyDescent="0.25">
      <c r="B8" s="3" t="s">
        <v>342</v>
      </c>
    </row>
    <row r="9" spans="1:6" ht="18" customHeight="1" x14ac:dyDescent="0.25">
      <c r="B9" s="26" t="s">
        <v>343</v>
      </c>
      <c r="C9" s="26"/>
      <c r="D9" s="26"/>
      <c r="E9" s="26"/>
      <c r="F9" s="26"/>
    </row>
    <row r="10" spans="1:6" x14ac:dyDescent="0.25">
      <c r="B10" s="10" t="s">
        <v>341</v>
      </c>
    </row>
    <row r="11" spans="1:6" ht="19.5" customHeight="1" x14ac:dyDescent="0.25">
      <c r="B11" s="11" t="str">
        <f>_xlfn.XLOOKUP(N2,Produkty!$B$2:$B$15,Produkty!$C$2:$C$15,"Brak w katalogu")</f>
        <v>Brak w katalogu</v>
      </c>
    </row>
    <row r="13" spans="1:6" x14ac:dyDescent="0.25">
      <c r="B13" s="3" t="s">
        <v>344</v>
      </c>
    </row>
    <row r="14" spans="1:6" ht="27.75" customHeight="1" x14ac:dyDescent="0.25">
      <c r="B14" s="26" t="s">
        <v>345</v>
      </c>
      <c r="C14" s="26"/>
      <c r="D14" s="26"/>
      <c r="E14" s="26"/>
      <c r="F14" s="26"/>
    </row>
    <row r="15" spans="1:6" x14ac:dyDescent="0.25">
      <c r="B15" s="10" t="s">
        <v>346</v>
      </c>
    </row>
    <row r="16" spans="1:6" ht="19.5" customHeight="1" x14ac:dyDescent="0.25">
      <c r="B16" s="11" t="str">
        <f>_xlfn.XLOOKUP(F2,Produkty!$A$2:$A$15,Produkty!$B$2:$B$15,"Brak w katalogu")</f>
        <v>Brak w katalogu</v>
      </c>
    </row>
    <row r="18" spans="2:6" x14ac:dyDescent="0.25">
      <c r="B18" s="3" t="s">
        <v>347</v>
      </c>
    </row>
    <row r="19" spans="2:6" ht="27.75" customHeight="1" x14ac:dyDescent="0.25">
      <c r="B19" s="26" t="s">
        <v>348</v>
      </c>
      <c r="C19" s="26"/>
      <c r="D19" s="26"/>
      <c r="E19" s="26"/>
      <c r="F19" s="26"/>
    </row>
    <row r="20" spans="2:6" x14ac:dyDescent="0.25">
      <c r="B20" s="10" t="s">
        <v>349</v>
      </c>
    </row>
    <row r="21" spans="2:6" ht="19.5" customHeight="1" x14ac:dyDescent="0.25">
      <c r="B21" s="11" t="b">
        <f>_xlfn.XLOOKUP(Dane!F2,Produkty!$A$2:$A$15,Produkty!$D$2:$D$15) =SUM(P2-H2)</f>
        <v>0</v>
      </c>
    </row>
    <row r="23" spans="2:6" x14ac:dyDescent="0.25">
      <c r="B23" s="3" t="s">
        <v>350</v>
      </c>
    </row>
    <row r="24" spans="2:6" ht="27.75" customHeight="1" x14ac:dyDescent="0.25">
      <c r="B24" s="26" t="s">
        <v>351</v>
      </c>
      <c r="C24" s="26"/>
      <c r="D24" s="26"/>
      <c r="E24" s="26"/>
      <c r="F24" s="26"/>
    </row>
    <row r="25" spans="2:6" x14ac:dyDescent="0.25">
      <c r="B25" s="10" t="s">
        <v>326</v>
      </c>
    </row>
    <row r="26" spans="2:6" ht="19.5" customHeight="1" x14ac:dyDescent="0.25">
      <c r="B26" s="11" t="s">
        <v>417</v>
      </c>
    </row>
  </sheetData>
  <mergeCells count="6">
    <mergeCell ref="B24:F24"/>
    <mergeCell ref="A1:F1"/>
    <mergeCell ref="B4:F4"/>
    <mergeCell ref="B9:F9"/>
    <mergeCell ref="B14:F14"/>
    <mergeCell ref="B19:F19"/>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1"/>
  <sheetViews>
    <sheetView showGridLines="0" topLeftCell="A8" zoomScaleNormal="100" workbookViewId="0">
      <selection activeCell="B11" sqref="B11"/>
    </sheetView>
  </sheetViews>
  <sheetFormatPr defaultColWidth="8.7109375" defaultRowHeight="15" x14ac:dyDescent="0.25"/>
  <cols>
    <col min="1" max="1" width="3" customWidth="1"/>
    <col min="2" max="6" width="20" customWidth="1"/>
  </cols>
  <sheetData>
    <row r="1" spans="1:6" ht="25.5" customHeight="1" x14ac:dyDescent="0.25">
      <c r="A1" s="27" t="s">
        <v>352</v>
      </c>
      <c r="B1" s="27"/>
      <c r="C1" s="27"/>
      <c r="D1" s="27"/>
      <c r="E1" s="27"/>
      <c r="F1" s="27"/>
    </row>
    <row r="3" spans="1:6" x14ac:dyDescent="0.25">
      <c r="B3" s="3" t="s">
        <v>353</v>
      </c>
    </row>
    <row r="4" spans="1:6" ht="27.75" customHeight="1" x14ac:dyDescent="0.25">
      <c r="B4" s="26" t="s">
        <v>354</v>
      </c>
      <c r="C4" s="26"/>
      <c r="D4" s="26"/>
      <c r="E4" s="26"/>
      <c r="F4" s="26"/>
    </row>
    <row r="5" spans="1:6" x14ac:dyDescent="0.25">
      <c r="B5" s="10" t="s">
        <v>355</v>
      </c>
    </row>
    <row r="6" spans="1:6" ht="19.5" customHeight="1" x14ac:dyDescent="0.25">
      <c r="B6" s="11" t="str">
        <f>TRIM(PROPER(D2))</f>
        <v/>
      </c>
    </row>
    <row r="8" spans="1:6" x14ac:dyDescent="0.25">
      <c r="B8" s="3" t="s">
        <v>356</v>
      </c>
    </row>
    <row r="9" spans="1:6" ht="27.75" customHeight="1" x14ac:dyDescent="0.25">
      <c r="B9" s="26" t="s">
        <v>357</v>
      </c>
      <c r="C9" s="26"/>
      <c r="D9" s="26"/>
      <c r="E9" s="26"/>
      <c r="F9" s="26"/>
    </row>
    <row r="10" spans="1:6" x14ac:dyDescent="0.25">
      <c r="B10" s="10" t="s">
        <v>355</v>
      </c>
    </row>
    <row r="11" spans="1:6" ht="19.5" customHeight="1" x14ac:dyDescent="0.25">
      <c r="B11" s="11" t="e">
        <f>LOWER(TRIM(_xlfn.TEXTAFTER(E2,"@")))</f>
        <v>#N/A</v>
      </c>
    </row>
    <row r="13" spans="1:6" x14ac:dyDescent="0.25">
      <c r="B13" s="3" t="s">
        <v>358</v>
      </c>
    </row>
    <row r="14" spans="1:6" ht="27.75" customHeight="1" x14ac:dyDescent="0.25">
      <c r="B14" s="26" t="s">
        <v>359</v>
      </c>
      <c r="C14" s="26"/>
      <c r="D14" s="26"/>
      <c r="E14" s="26"/>
      <c r="F14" s="26"/>
    </row>
    <row r="15" spans="1:6" x14ac:dyDescent="0.25">
      <c r="B15" s="10" t="s">
        <v>355</v>
      </c>
    </row>
    <row r="16" spans="1:6" ht="19.5" customHeight="1" x14ac:dyDescent="0.25">
      <c r="B16" s="11" t="e">
        <f>_xlfn.CONCAT(LEFT(R2,1),".",LEFT(_xlfn.TEXTAFTER(R2," "),"1"))</f>
        <v>#N/A</v>
      </c>
    </row>
    <row r="18" spans="2:6" x14ac:dyDescent="0.25">
      <c r="B18" s="3" t="s">
        <v>360</v>
      </c>
    </row>
    <row r="19" spans="2:6" ht="27.75" customHeight="1" x14ac:dyDescent="0.25">
      <c r="B19" s="26" t="s">
        <v>361</v>
      </c>
      <c r="C19" s="26"/>
      <c r="D19" s="26"/>
      <c r="E19" s="26"/>
      <c r="F19" s="26"/>
    </row>
    <row r="20" spans="2:6" x14ac:dyDescent="0.25">
      <c r="B20" s="10" t="s">
        <v>355</v>
      </c>
    </row>
    <row r="21" spans="2:6" ht="19.5" customHeight="1" x14ac:dyDescent="0.25">
      <c r="B21" s="11" t="str">
        <f>_xlfn.CONCAT(C2,"-",F2)</f>
        <v>-</v>
      </c>
    </row>
    <row r="23" spans="2:6" x14ac:dyDescent="0.25">
      <c r="B23" s="3" t="s">
        <v>362</v>
      </c>
    </row>
    <row r="24" spans="2:6" ht="18" customHeight="1" x14ac:dyDescent="0.25">
      <c r="B24" s="26" t="s">
        <v>363</v>
      </c>
      <c r="C24" s="26"/>
      <c r="D24" s="26"/>
      <c r="E24" s="26"/>
      <c r="F24" s="26"/>
    </row>
    <row r="25" spans="2:6" x14ac:dyDescent="0.25">
      <c r="B25" s="10" t="s">
        <v>355</v>
      </c>
    </row>
    <row r="26" spans="2:6" ht="19.5" customHeight="1" x14ac:dyDescent="0.25">
      <c r="B26" s="11" t="str">
        <f>TEXT(B2,"dd-mm-rrrr")</f>
        <v>00-01-1900</v>
      </c>
    </row>
    <row r="28" spans="2:6" x14ac:dyDescent="0.25">
      <c r="B28" s="3" t="s">
        <v>364</v>
      </c>
    </row>
    <row r="29" spans="2:6" ht="27.75" customHeight="1" x14ac:dyDescent="0.25">
      <c r="B29" s="26" t="s">
        <v>365</v>
      </c>
      <c r="C29" s="26"/>
      <c r="D29" s="26"/>
      <c r="E29" s="26"/>
      <c r="F29" s="26"/>
    </row>
    <row r="30" spans="2:6" x14ac:dyDescent="0.25">
      <c r="B30" s="10" t="s">
        <v>355</v>
      </c>
    </row>
    <row r="31" spans="2:6" ht="19.5" customHeight="1" x14ac:dyDescent="0.25">
      <c r="B31" s="11" t="str">
        <f>TRIM(LOWER(K2))</f>
        <v/>
      </c>
    </row>
  </sheetData>
  <mergeCells count="7">
    <mergeCell ref="B24:F24"/>
    <mergeCell ref="B29:F29"/>
    <mergeCell ref="A1:F1"/>
    <mergeCell ref="B4:F4"/>
    <mergeCell ref="B9:F9"/>
    <mergeCell ref="B14:F14"/>
    <mergeCell ref="B19:F19"/>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6"/>
  <sheetViews>
    <sheetView showGridLines="0" topLeftCell="A3" zoomScaleNormal="100" workbookViewId="0">
      <selection activeCell="O10" sqref="O10"/>
    </sheetView>
  </sheetViews>
  <sheetFormatPr defaultColWidth="8.7109375" defaultRowHeight="15" x14ac:dyDescent="0.25"/>
  <cols>
    <col min="1" max="1" width="3" customWidth="1"/>
    <col min="2" max="6" width="20" customWidth="1"/>
  </cols>
  <sheetData>
    <row r="1" spans="1:6" ht="25.5" customHeight="1" x14ac:dyDescent="0.25">
      <c r="A1" s="27" t="s">
        <v>366</v>
      </c>
      <c r="B1" s="27"/>
      <c r="C1" s="27"/>
      <c r="D1" s="27"/>
      <c r="E1" s="27"/>
      <c r="F1" s="27"/>
    </row>
    <row r="3" spans="1:6" x14ac:dyDescent="0.25">
      <c r="B3" s="3" t="s">
        <v>367</v>
      </c>
    </row>
    <row r="4" spans="1:6" ht="27.75" customHeight="1" x14ac:dyDescent="0.25">
      <c r="B4" s="26" t="s">
        <v>368</v>
      </c>
      <c r="C4" s="26"/>
      <c r="D4" s="26"/>
      <c r="E4" s="26"/>
      <c r="F4" s="26"/>
    </row>
    <row r="5" spans="1:6" x14ac:dyDescent="0.25">
      <c r="B5" s="10" t="s">
        <v>326</v>
      </c>
    </row>
    <row r="6" spans="1:6" ht="19.5" customHeight="1" x14ac:dyDescent="0.25">
      <c r="B6" s="11">
        <f>SUMIFS(Dane!I2:I141,Dane!C2:C141,"Kraków",Dane!G2:G141,"&gt;5")</f>
        <v>2302.62</v>
      </c>
    </row>
    <row r="8" spans="1:6" x14ac:dyDescent="0.25">
      <c r="B8" s="3" t="s">
        <v>369</v>
      </c>
    </row>
    <row r="9" spans="1:6" ht="18" customHeight="1" x14ac:dyDescent="0.25">
      <c r="B9" s="26" t="s">
        <v>370</v>
      </c>
      <c r="C9" s="26"/>
      <c r="D9" s="26"/>
      <c r="E9" s="26"/>
      <c r="F9" s="26"/>
    </row>
    <row r="10" spans="1:6" x14ac:dyDescent="0.25">
      <c r="B10" s="10" t="s">
        <v>326</v>
      </c>
    </row>
    <row r="11" spans="1:6" ht="19.5" customHeight="1" x14ac:dyDescent="0.25">
      <c r="B11" s="11">
        <f>AVERAGEIFS(Dane!H2:H141,Dane!F2:F141,"K001")</f>
        <v>8.6828571428571433</v>
      </c>
    </row>
    <row r="13" spans="1:6" x14ac:dyDescent="0.25">
      <c r="B13" s="3" t="s">
        <v>371</v>
      </c>
    </row>
    <row r="14" spans="1:6" ht="27.75" customHeight="1" x14ac:dyDescent="0.25">
      <c r="B14" s="26" t="s">
        <v>372</v>
      </c>
      <c r="C14" s="26"/>
      <c r="D14" s="26"/>
      <c r="E14" s="26"/>
      <c r="F14" s="26"/>
    </row>
    <row r="15" spans="1:6" x14ac:dyDescent="0.25">
      <c r="B15" s="10" t="s">
        <v>326</v>
      </c>
    </row>
    <row r="16" spans="1:6" ht="19.5" customHeight="1" x14ac:dyDescent="0.25">
      <c r="B16" s="11">
        <f>COUNTIFS(Dane!C2:C141,"Wrocław",Dane!G2:G141,"&gt;=3",Dane!G2:G141,"&lt;=8")</f>
        <v>14</v>
      </c>
    </row>
    <row r="18" spans="2:6" x14ac:dyDescent="0.25">
      <c r="B18" s="3" t="s">
        <v>373</v>
      </c>
    </row>
    <row r="19" spans="2:6" ht="27.75" customHeight="1" x14ac:dyDescent="0.25">
      <c r="B19" s="26" t="s">
        <v>374</v>
      </c>
      <c r="C19" s="26"/>
      <c r="D19" s="26"/>
      <c r="E19" s="26"/>
      <c r="F19" s="26"/>
    </row>
    <row r="20" spans="2:6" x14ac:dyDescent="0.25">
      <c r="B20" s="10" t="s">
        <v>326</v>
      </c>
    </row>
    <row r="21" spans="2:6" ht="19.5" customHeight="1" x14ac:dyDescent="0.25">
      <c r="B21" s="11">
        <f>SUMIFS(Dane!I2:I141,Dane!C2:C141,"Poznań",Dane!O2:O141,"Napoje gorące",Dane!B2:B141,"&gt;"&amp;DATE(2023,12,31),Dane!$B$2:$B$141,"&lt;"&amp;DATE(2024,7,1))</f>
        <v>282.45</v>
      </c>
    </row>
    <row r="23" spans="2:6" x14ac:dyDescent="0.25">
      <c r="B23" s="3" t="s">
        <v>375</v>
      </c>
    </row>
    <row r="24" spans="2:6" ht="27.75" customHeight="1" x14ac:dyDescent="0.25">
      <c r="B24" s="26" t="s">
        <v>376</v>
      </c>
      <c r="C24" s="26"/>
      <c r="D24" s="26"/>
      <c r="E24" s="26"/>
      <c r="F24" s="26"/>
    </row>
    <row r="25" spans="2:6" x14ac:dyDescent="0.25">
      <c r="B25" s="10" t="s">
        <v>326</v>
      </c>
    </row>
    <row r="26" spans="2:6" ht="19.5" customHeight="1" x14ac:dyDescent="0.25">
      <c r="B26" s="11" t="s">
        <v>424</v>
      </c>
    </row>
  </sheetData>
  <mergeCells count="6">
    <mergeCell ref="B24:F24"/>
    <mergeCell ref="A1:F1"/>
    <mergeCell ref="B4:F4"/>
    <mergeCell ref="B9:F9"/>
    <mergeCell ref="B14:F14"/>
    <mergeCell ref="B19:F19"/>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6"/>
  <sheetViews>
    <sheetView showGridLines="0" zoomScaleNormal="100" workbookViewId="0">
      <selection activeCell="B17" sqref="B17"/>
    </sheetView>
  </sheetViews>
  <sheetFormatPr defaultColWidth="8.7109375" defaultRowHeight="15" x14ac:dyDescent="0.25"/>
  <cols>
    <col min="1" max="1" width="3" customWidth="1"/>
    <col min="2" max="6" width="20" customWidth="1"/>
  </cols>
  <sheetData>
    <row r="1" spans="1:6" ht="25.5" customHeight="1" x14ac:dyDescent="0.25">
      <c r="A1" s="27" t="s">
        <v>377</v>
      </c>
      <c r="B1" s="27"/>
      <c r="C1" s="27"/>
      <c r="D1" s="27"/>
      <c r="E1" s="27"/>
      <c r="F1" s="27"/>
    </row>
    <row r="3" spans="1:6" x14ac:dyDescent="0.25">
      <c r="B3" s="3" t="s">
        <v>378</v>
      </c>
    </row>
    <row r="4" spans="1:6" ht="27.75" customHeight="1" x14ac:dyDescent="0.25">
      <c r="B4" s="26" t="s">
        <v>379</v>
      </c>
      <c r="C4" s="26"/>
      <c r="D4" s="26"/>
      <c r="E4" s="26"/>
      <c r="F4" s="26"/>
    </row>
    <row r="5" spans="1:6" x14ac:dyDescent="0.25">
      <c r="B5" s="10" t="s">
        <v>380</v>
      </c>
    </row>
    <row r="6" spans="1:6" ht="19.5" customHeight="1" x14ac:dyDescent="0.25">
      <c r="B6" s="11" t="s">
        <v>429</v>
      </c>
    </row>
    <row r="8" spans="1:6" x14ac:dyDescent="0.25">
      <c r="B8" s="3" t="s">
        <v>381</v>
      </c>
    </row>
    <row r="9" spans="1:6" ht="42" customHeight="1" x14ac:dyDescent="0.25">
      <c r="B9" s="26" t="s">
        <v>382</v>
      </c>
      <c r="C9" s="26"/>
      <c r="D9" s="26"/>
      <c r="E9" s="26"/>
      <c r="F9" s="26"/>
    </row>
    <row r="10" spans="1:6" x14ac:dyDescent="0.25">
      <c r="B10" s="10" t="s">
        <v>383</v>
      </c>
    </row>
    <row r="11" spans="1:6" ht="19.5" customHeight="1" x14ac:dyDescent="0.25">
      <c r="B11" s="11" t="s">
        <v>429</v>
      </c>
    </row>
    <row r="13" spans="1:6" x14ac:dyDescent="0.25">
      <c r="B13" s="3" t="s">
        <v>384</v>
      </c>
    </row>
    <row r="14" spans="1:6" ht="27.75" customHeight="1" x14ac:dyDescent="0.25">
      <c r="B14" s="26" t="s">
        <v>385</v>
      </c>
      <c r="C14" s="26"/>
      <c r="D14" s="26"/>
      <c r="E14" s="26"/>
      <c r="F14" s="26"/>
    </row>
    <row r="15" spans="1:6" x14ac:dyDescent="0.25">
      <c r="B15" s="10" t="s">
        <v>326</v>
      </c>
    </row>
    <row r="16" spans="1:6" ht="19.5" customHeight="1" x14ac:dyDescent="0.25">
      <c r="B16" s="11" t="s">
        <v>450</v>
      </c>
    </row>
  </sheetData>
  <mergeCells count="4">
    <mergeCell ref="A1:F1"/>
    <mergeCell ref="B4:F4"/>
    <mergeCell ref="B9:F9"/>
    <mergeCell ref="B14:F14"/>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C7B35-6512-4302-9947-320176078198}">
  <dimension ref="A1:V279"/>
  <sheetViews>
    <sheetView zoomScale="55" zoomScaleNormal="55" workbookViewId="0">
      <selection activeCell="E33" sqref="E33"/>
    </sheetView>
  </sheetViews>
  <sheetFormatPr defaultRowHeight="15" x14ac:dyDescent="0.25"/>
  <cols>
    <col min="1" max="1" width="15" bestFit="1" customWidth="1"/>
    <col min="2" max="2" width="17.5703125" bestFit="1" customWidth="1"/>
    <col min="3" max="3" width="14.7109375" bestFit="1" customWidth="1"/>
    <col min="4" max="4" width="15.7109375" bestFit="1" customWidth="1"/>
    <col min="5" max="5" width="14.7109375" bestFit="1" customWidth="1"/>
    <col min="6" max="6" width="15.7109375" bestFit="1" customWidth="1"/>
    <col min="7" max="7" width="14.7109375" bestFit="1" customWidth="1"/>
    <col min="8" max="8" width="15.7109375" bestFit="1" customWidth="1"/>
    <col min="9" max="9" width="14.7109375" bestFit="1" customWidth="1"/>
    <col min="10" max="10" width="15.7109375" bestFit="1" customWidth="1"/>
    <col min="11" max="11" width="14.7109375" bestFit="1" customWidth="1"/>
    <col min="12" max="12" width="20.85546875" bestFit="1" customWidth="1"/>
    <col min="13" max="13" width="19.85546875" bestFit="1" customWidth="1"/>
    <col min="14" max="14" width="15.7109375" bestFit="1" customWidth="1"/>
    <col min="15" max="15" width="29.7109375" bestFit="1" customWidth="1"/>
    <col min="16" max="16" width="15.7109375" bestFit="1" customWidth="1"/>
    <col min="17" max="17" width="29.7109375" bestFit="1" customWidth="1"/>
    <col min="18" max="18" width="20.7109375" bestFit="1" customWidth="1"/>
    <col min="19" max="19" width="16.5703125" bestFit="1" customWidth="1"/>
    <col min="20" max="20" width="19.42578125" bestFit="1" customWidth="1"/>
    <col min="21" max="21" width="14.85546875" bestFit="1" customWidth="1"/>
    <col min="22" max="22" width="13.42578125" bestFit="1" customWidth="1"/>
    <col min="23" max="23" width="9.42578125" bestFit="1" customWidth="1"/>
    <col min="24" max="24" width="8.42578125" bestFit="1" customWidth="1"/>
    <col min="25" max="25" width="11.5703125" bestFit="1" customWidth="1"/>
    <col min="26" max="28" width="7.5703125" bestFit="1" customWidth="1"/>
    <col min="29" max="29" width="6.5703125" bestFit="1" customWidth="1"/>
    <col min="30" max="30" width="7.5703125" bestFit="1" customWidth="1"/>
    <col min="31" max="31" width="6.5703125" bestFit="1" customWidth="1"/>
    <col min="32" max="32" width="6.7109375" bestFit="1" customWidth="1"/>
    <col min="33" max="35" width="7.5703125" bestFit="1" customWidth="1"/>
    <col min="36" max="36" width="12.28515625" bestFit="1" customWidth="1"/>
    <col min="37" max="37" width="12.42578125" bestFit="1" customWidth="1"/>
    <col min="38" max="38" width="6.5703125" bestFit="1" customWidth="1"/>
    <col min="39" max="39" width="7" bestFit="1" customWidth="1"/>
    <col min="40" max="40" width="7.5703125" bestFit="1" customWidth="1"/>
    <col min="41" max="41" width="6.7109375" bestFit="1" customWidth="1"/>
    <col min="42" max="43" width="7.5703125" bestFit="1" customWidth="1"/>
    <col min="44" max="44" width="6.7109375" bestFit="1" customWidth="1"/>
    <col min="45" max="46" width="6.5703125" bestFit="1" customWidth="1"/>
    <col min="47" max="47" width="7.5703125" bestFit="1" customWidth="1"/>
    <col min="48" max="48" width="15" bestFit="1" customWidth="1"/>
    <col min="49" max="49" width="11.28515625" bestFit="1" customWidth="1"/>
    <col min="50" max="50" width="6.5703125" bestFit="1" customWidth="1"/>
    <col min="51" max="51" width="7" bestFit="1" customWidth="1"/>
    <col min="52" max="52" width="6.7109375" bestFit="1" customWidth="1"/>
    <col min="53" max="55" width="7.5703125" bestFit="1" customWidth="1"/>
    <col min="56" max="56" width="6.7109375" bestFit="1" customWidth="1"/>
    <col min="57" max="57" width="6.5703125" bestFit="1" customWidth="1"/>
    <col min="58" max="58" width="7.5703125" bestFit="1" customWidth="1"/>
    <col min="59" max="59" width="6.5703125" bestFit="1" customWidth="1"/>
    <col min="60" max="60" width="13.85546875" bestFit="1" customWidth="1"/>
    <col min="61" max="61" width="11.28515625" bestFit="1" customWidth="1"/>
    <col min="62" max="65" width="13.140625" bestFit="1" customWidth="1"/>
    <col min="66" max="66" width="8.7109375" bestFit="1" customWidth="1"/>
    <col min="67" max="69" width="13.140625" bestFit="1" customWidth="1"/>
    <col min="70" max="70" width="9.85546875" bestFit="1" customWidth="1"/>
    <col min="71" max="71" width="6.5703125" bestFit="1" customWidth="1"/>
    <col min="72" max="78" width="13.140625" bestFit="1" customWidth="1"/>
    <col min="79" max="79" width="6.5703125" bestFit="1" customWidth="1"/>
    <col min="80" max="80" width="13.140625" bestFit="1" customWidth="1"/>
    <col min="81" max="81" width="7.5703125" bestFit="1" customWidth="1"/>
    <col min="82" max="83" width="13.140625" bestFit="1" customWidth="1"/>
    <col min="84" max="84" width="5.42578125" bestFit="1" customWidth="1"/>
    <col min="85" max="88" width="13.140625" bestFit="1" customWidth="1"/>
    <col min="89" max="89" width="8.7109375" bestFit="1" customWidth="1"/>
    <col min="90" max="90" width="6.5703125" bestFit="1" customWidth="1"/>
    <col min="91" max="91" width="13.140625" bestFit="1" customWidth="1"/>
    <col min="92" max="92" width="8.7109375" bestFit="1" customWidth="1"/>
    <col min="93" max="94" width="13.140625" bestFit="1" customWidth="1"/>
    <col min="95" max="95" width="7.5703125" bestFit="1" customWidth="1"/>
    <col min="96" max="102" width="13.140625" bestFit="1" customWidth="1"/>
    <col min="103" max="103" width="9.85546875" bestFit="1" customWidth="1"/>
    <col min="104" max="105" width="13.140625" bestFit="1" customWidth="1"/>
    <col min="106" max="106" width="7.5703125" bestFit="1" customWidth="1"/>
    <col min="107" max="109" width="13.140625" bestFit="1" customWidth="1"/>
    <col min="110" max="110" width="6.5703125" bestFit="1" customWidth="1"/>
    <col min="111" max="113" width="13.140625" bestFit="1" customWidth="1"/>
    <col min="114" max="114" width="8.7109375" bestFit="1" customWidth="1"/>
    <col min="115" max="116" width="13.140625" bestFit="1" customWidth="1"/>
    <col min="117" max="117" width="7.5703125" bestFit="1" customWidth="1"/>
    <col min="118" max="119" width="13.140625" bestFit="1" customWidth="1"/>
    <col min="120" max="120" width="6.5703125" bestFit="1" customWidth="1"/>
    <col min="121" max="123" width="13.140625" bestFit="1" customWidth="1"/>
    <col min="124" max="124" width="5.42578125" bestFit="1" customWidth="1"/>
    <col min="125" max="130" width="13.140625" bestFit="1" customWidth="1"/>
    <col min="131" max="131" width="6.5703125" bestFit="1" customWidth="1"/>
    <col min="132" max="132" width="5.5703125" bestFit="1" customWidth="1"/>
    <col min="133" max="133" width="15.85546875" bestFit="1" customWidth="1"/>
    <col min="134" max="134" width="13.42578125" bestFit="1" customWidth="1"/>
    <col min="135" max="135" width="15.85546875" bestFit="1" customWidth="1"/>
    <col min="136" max="136" width="13.42578125" bestFit="1" customWidth="1"/>
    <col min="137" max="137" width="15.85546875" bestFit="1" customWidth="1"/>
    <col min="138" max="138" width="13.42578125" bestFit="1" customWidth="1"/>
    <col min="139" max="139" width="15.85546875" bestFit="1" customWidth="1"/>
    <col min="140" max="140" width="13.42578125" bestFit="1" customWidth="1"/>
    <col min="141" max="141" width="15.85546875" bestFit="1" customWidth="1"/>
    <col min="142" max="142" width="13.42578125" bestFit="1" customWidth="1"/>
    <col min="143" max="143" width="15.85546875" bestFit="1" customWidth="1"/>
    <col min="144" max="144" width="13.42578125" bestFit="1" customWidth="1"/>
    <col min="145" max="145" width="10" bestFit="1" customWidth="1"/>
    <col min="146" max="146" width="15.85546875" bestFit="1" customWidth="1"/>
    <col min="147" max="147" width="13.42578125" bestFit="1" customWidth="1"/>
    <col min="148" max="148" width="10" bestFit="1" customWidth="1"/>
    <col min="149" max="149" width="15.85546875" bestFit="1" customWidth="1"/>
    <col min="150" max="150" width="13.42578125" bestFit="1" customWidth="1"/>
    <col min="151" max="151" width="15.85546875" bestFit="1" customWidth="1"/>
    <col min="152" max="152" width="13.42578125" bestFit="1" customWidth="1"/>
    <col min="153" max="153" width="15.85546875" bestFit="1" customWidth="1"/>
    <col min="154" max="154" width="13.42578125" bestFit="1" customWidth="1"/>
    <col min="155" max="155" width="15.85546875" bestFit="1" customWidth="1"/>
    <col min="156" max="156" width="13.42578125" bestFit="1" customWidth="1"/>
    <col min="157" max="157" width="15.85546875" bestFit="1" customWidth="1"/>
    <col min="158" max="158" width="13.42578125" bestFit="1" customWidth="1"/>
    <col min="159" max="159" width="7.5703125" bestFit="1" customWidth="1"/>
    <col min="160" max="160" width="10" bestFit="1" customWidth="1"/>
    <col min="161" max="161" width="15.85546875" bestFit="1" customWidth="1"/>
    <col min="162" max="162" width="13.42578125" bestFit="1" customWidth="1"/>
    <col min="163" max="163" width="15.85546875" bestFit="1" customWidth="1"/>
    <col min="164" max="164" width="13.42578125" bestFit="1" customWidth="1"/>
    <col min="165" max="165" width="15.85546875" bestFit="1" customWidth="1"/>
    <col min="166" max="166" width="13.42578125" bestFit="1" customWidth="1"/>
    <col min="167" max="167" width="15.85546875" bestFit="1" customWidth="1"/>
    <col min="168" max="168" width="13.42578125" bestFit="1" customWidth="1"/>
    <col min="169" max="169" width="15.85546875" bestFit="1" customWidth="1"/>
    <col min="170" max="170" width="13.42578125" bestFit="1" customWidth="1"/>
    <col min="171" max="171" width="8.85546875" bestFit="1" customWidth="1"/>
    <col min="172" max="172" width="15.85546875" bestFit="1" customWidth="1"/>
    <col min="173" max="173" width="13.42578125" bestFit="1" customWidth="1"/>
    <col min="174" max="174" width="15.85546875" bestFit="1" customWidth="1"/>
    <col min="175" max="175" width="13.42578125" bestFit="1" customWidth="1"/>
    <col min="176" max="176" width="15.85546875" bestFit="1" customWidth="1"/>
    <col min="177" max="177" width="13.42578125" bestFit="1" customWidth="1"/>
    <col min="178" max="178" width="15.85546875" bestFit="1" customWidth="1"/>
    <col min="179" max="179" width="13.42578125" bestFit="1" customWidth="1"/>
    <col min="180" max="180" width="15.85546875" bestFit="1" customWidth="1"/>
    <col min="181" max="181" width="13.42578125" bestFit="1" customWidth="1"/>
    <col min="182" max="182" width="15.85546875" bestFit="1" customWidth="1"/>
    <col min="183" max="183" width="13.42578125" bestFit="1" customWidth="1"/>
    <col min="184" max="184" width="15.85546875" bestFit="1" customWidth="1"/>
    <col min="185" max="185" width="13.42578125" bestFit="1" customWidth="1"/>
    <col min="186" max="186" width="15.85546875" bestFit="1" customWidth="1"/>
    <col min="187" max="187" width="13.42578125" bestFit="1" customWidth="1"/>
    <col min="188" max="188" width="15.85546875" bestFit="1" customWidth="1"/>
    <col min="189" max="189" width="13.42578125" bestFit="1" customWidth="1"/>
    <col min="190" max="190" width="15.85546875" bestFit="1" customWidth="1"/>
    <col min="191" max="191" width="13.42578125" bestFit="1" customWidth="1"/>
    <col min="192" max="192" width="15.85546875" bestFit="1" customWidth="1"/>
    <col min="193" max="193" width="13.42578125" bestFit="1" customWidth="1"/>
    <col min="194" max="194" width="15.85546875" bestFit="1" customWidth="1"/>
    <col min="195" max="195" width="13.42578125" bestFit="1" customWidth="1"/>
    <col min="196" max="196" width="15.85546875" bestFit="1" customWidth="1"/>
    <col min="197" max="197" width="13.42578125" bestFit="1" customWidth="1"/>
    <col min="198" max="198" width="8.85546875" bestFit="1" customWidth="1"/>
    <col min="199" max="199" width="15.85546875" bestFit="1" customWidth="1"/>
    <col min="200" max="200" width="13.42578125" bestFit="1" customWidth="1"/>
    <col min="201" max="201" width="15.85546875" bestFit="1" customWidth="1"/>
    <col min="202" max="202" width="13.42578125" bestFit="1" customWidth="1"/>
    <col min="203" max="203" width="8.85546875" bestFit="1" customWidth="1"/>
    <col min="204" max="204" width="15.85546875" bestFit="1" customWidth="1"/>
    <col min="205" max="205" width="13.42578125" bestFit="1" customWidth="1"/>
    <col min="206" max="206" width="15.85546875" bestFit="1" customWidth="1"/>
    <col min="207" max="207" width="13.42578125" bestFit="1" customWidth="1"/>
    <col min="208" max="208" width="15.85546875" bestFit="1" customWidth="1"/>
    <col min="209" max="209" width="13.42578125" bestFit="1" customWidth="1"/>
    <col min="210" max="210" width="15.85546875" bestFit="1" customWidth="1"/>
    <col min="211" max="211" width="13.42578125" bestFit="1" customWidth="1"/>
    <col min="212" max="212" width="15.85546875" bestFit="1" customWidth="1"/>
    <col min="213" max="213" width="13.42578125" bestFit="1" customWidth="1"/>
    <col min="214" max="214" width="8.85546875" bestFit="1" customWidth="1"/>
    <col min="215" max="215" width="15.85546875" bestFit="1" customWidth="1"/>
    <col min="216" max="216" width="13.42578125" bestFit="1" customWidth="1"/>
    <col min="217" max="217" width="15.85546875" bestFit="1" customWidth="1"/>
    <col min="218" max="218" width="13.42578125" bestFit="1" customWidth="1"/>
    <col min="219" max="219" width="15.85546875" bestFit="1" customWidth="1"/>
    <col min="220" max="220" width="13.42578125" bestFit="1" customWidth="1"/>
    <col min="221" max="221" width="15.85546875" bestFit="1" customWidth="1"/>
    <col min="222" max="222" width="13.42578125" bestFit="1" customWidth="1"/>
    <col min="223" max="223" width="15.85546875" bestFit="1" customWidth="1"/>
    <col min="224" max="224" width="13.42578125" bestFit="1" customWidth="1"/>
    <col min="225" max="225" width="15.85546875" bestFit="1" customWidth="1"/>
    <col min="226" max="226" width="13.42578125" bestFit="1" customWidth="1"/>
    <col min="227" max="227" width="15.85546875" bestFit="1" customWidth="1"/>
    <col min="228" max="228" width="13.42578125" bestFit="1" customWidth="1"/>
    <col min="229" max="229" width="15.85546875" bestFit="1" customWidth="1"/>
    <col min="230" max="230" width="13.42578125" bestFit="1" customWidth="1"/>
    <col min="231" max="231" width="15.85546875" bestFit="1" customWidth="1"/>
    <col min="232" max="232" width="13.42578125" bestFit="1" customWidth="1"/>
    <col min="233" max="233" width="15.85546875" bestFit="1" customWidth="1"/>
    <col min="234" max="234" width="13.42578125" bestFit="1" customWidth="1"/>
    <col min="235" max="235" width="15.85546875" bestFit="1" customWidth="1"/>
    <col min="236" max="236" width="13.42578125" bestFit="1" customWidth="1"/>
    <col min="237" max="237" width="15.85546875" bestFit="1" customWidth="1"/>
    <col min="238" max="238" width="13.42578125" bestFit="1" customWidth="1"/>
    <col min="239" max="239" width="15.85546875" bestFit="1" customWidth="1"/>
    <col min="240" max="240" width="13.42578125" bestFit="1" customWidth="1"/>
    <col min="241" max="241" width="10" bestFit="1" customWidth="1"/>
    <col min="242" max="242" width="15.85546875" bestFit="1" customWidth="1"/>
    <col min="243" max="243" width="13.42578125" bestFit="1" customWidth="1"/>
    <col min="244" max="244" width="15.85546875" bestFit="1" customWidth="1"/>
    <col min="245" max="245" width="13.42578125" bestFit="1" customWidth="1"/>
    <col min="246" max="246" width="15.85546875" bestFit="1" customWidth="1"/>
    <col min="247" max="247" width="13.42578125" bestFit="1" customWidth="1"/>
    <col min="248" max="248" width="15.85546875" bestFit="1" customWidth="1"/>
    <col min="249" max="249" width="13.42578125" bestFit="1" customWidth="1"/>
    <col min="250" max="250" width="15.85546875" bestFit="1" customWidth="1"/>
    <col min="251" max="251" width="13.42578125" bestFit="1" customWidth="1"/>
    <col min="252" max="252" width="15.85546875" bestFit="1" customWidth="1"/>
    <col min="253" max="253" width="11.28515625" bestFit="1" customWidth="1"/>
    <col min="254" max="254" width="13.42578125" bestFit="1" customWidth="1"/>
    <col min="255" max="255" width="14.28515625" bestFit="1" customWidth="1"/>
    <col min="256" max="256" width="15.85546875" bestFit="1" customWidth="1"/>
    <col min="257" max="257" width="13.42578125" bestFit="1" customWidth="1"/>
    <col min="258" max="258" width="14.28515625" bestFit="1" customWidth="1"/>
    <col min="259" max="259" width="15.85546875" bestFit="1" customWidth="1"/>
    <col min="260" max="260" width="16.140625" bestFit="1" customWidth="1"/>
    <col min="261" max="261" width="18.85546875" bestFit="1" customWidth="1"/>
    <col min="262" max="262" width="11.85546875" bestFit="1" customWidth="1"/>
    <col min="263" max="263" width="14.28515625" bestFit="1" customWidth="1"/>
    <col min="264" max="264" width="15.85546875" bestFit="1" customWidth="1"/>
    <col min="265" max="266" width="13.42578125" bestFit="1" customWidth="1"/>
    <col min="267" max="267" width="15.85546875" bestFit="1" customWidth="1"/>
    <col min="268" max="268" width="15.5703125" bestFit="1" customWidth="1"/>
    <col min="269" max="269" width="18.42578125" bestFit="1" customWidth="1"/>
    <col min="270" max="270" width="15.85546875" bestFit="1" customWidth="1"/>
    <col min="271" max="272" width="13.42578125" bestFit="1" customWidth="1"/>
    <col min="273" max="273" width="15.85546875" bestFit="1" customWidth="1"/>
    <col min="274" max="274" width="17.5703125" bestFit="1" customWidth="1"/>
    <col min="275" max="275" width="20" bestFit="1" customWidth="1"/>
    <col min="276" max="276" width="15.85546875" bestFit="1" customWidth="1"/>
    <col min="277" max="277" width="16.140625" bestFit="1" customWidth="1"/>
    <col min="278" max="278" width="18.85546875" bestFit="1" customWidth="1"/>
    <col min="279" max="279" width="15.85546875" bestFit="1" customWidth="1"/>
    <col min="280" max="280" width="15.5703125" bestFit="1" customWidth="1"/>
    <col min="281" max="281" width="18.42578125" bestFit="1" customWidth="1"/>
    <col min="282" max="282" width="15.85546875" bestFit="1" customWidth="1"/>
    <col min="283" max="283" width="16.140625" bestFit="1" customWidth="1"/>
    <col min="284" max="284" width="18.85546875" bestFit="1" customWidth="1"/>
    <col min="285" max="285" width="15.85546875" bestFit="1" customWidth="1"/>
    <col min="286" max="287" width="13.42578125" bestFit="1" customWidth="1"/>
    <col min="288" max="288" width="15.85546875" bestFit="1" customWidth="1"/>
    <col min="289" max="289" width="16.140625" bestFit="1" customWidth="1"/>
    <col min="290" max="290" width="18.85546875" bestFit="1" customWidth="1"/>
    <col min="291" max="291" width="15.85546875" bestFit="1" customWidth="1"/>
    <col min="292" max="292" width="16.140625" bestFit="1" customWidth="1"/>
    <col min="293" max="293" width="18.85546875" bestFit="1" customWidth="1"/>
    <col min="294" max="294" width="15.85546875" bestFit="1" customWidth="1"/>
    <col min="295" max="295" width="13.42578125" bestFit="1" customWidth="1"/>
    <col min="296" max="296" width="14.28515625" bestFit="1" customWidth="1"/>
    <col min="297" max="297" width="15.85546875" bestFit="1" customWidth="1"/>
    <col min="298" max="299" width="13.42578125" bestFit="1" customWidth="1"/>
    <col min="300" max="300" width="15.85546875" bestFit="1" customWidth="1"/>
    <col min="301" max="301" width="13.42578125" bestFit="1" customWidth="1"/>
    <col min="302" max="302" width="14.28515625" bestFit="1" customWidth="1"/>
    <col min="303" max="303" width="10.7109375" bestFit="1" customWidth="1"/>
    <col min="304" max="304" width="13.42578125" bestFit="1" customWidth="1"/>
    <col min="305" max="305" width="15.85546875" bestFit="1" customWidth="1"/>
    <col min="306" max="306" width="15.5703125" bestFit="1" customWidth="1"/>
    <col min="307" max="307" width="18.42578125" bestFit="1" customWidth="1"/>
    <col min="308" max="308" width="15.85546875" bestFit="1" customWidth="1"/>
    <col min="309" max="309" width="16.140625" bestFit="1" customWidth="1"/>
    <col min="310" max="310" width="18.85546875" bestFit="1" customWidth="1"/>
    <col min="311" max="311" width="10.7109375" bestFit="1" customWidth="1"/>
    <col min="312" max="312" width="13.42578125" bestFit="1" customWidth="1"/>
    <col min="313" max="313" width="15.85546875" bestFit="1" customWidth="1"/>
    <col min="314" max="314" width="15.5703125" bestFit="1" customWidth="1"/>
    <col min="315" max="315" width="18.42578125" bestFit="1" customWidth="1"/>
    <col min="316" max="316" width="15.85546875" bestFit="1" customWidth="1"/>
    <col min="317" max="317" width="13.42578125" bestFit="1" customWidth="1"/>
    <col min="318" max="318" width="14.28515625" bestFit="1" customWidth="1"/>
    <col min="319" max="319" width="15.85546875" bestFit="1" customWidth="1"/>
    <col min="320" max="320" width="16.140625" bestFit="1" customWidth="1"/>
    <col min="321" max="321" width="18.85546875" bestFit="1" customWidth="1"/>
    <col min="322" max="322" width="15.85546875" bestFit="1" customWidth="1"/>
    <col min="323" max="323" width="15.5703125" bestFit="1" customWidth="1"/>
    <col min="324" max="324" width="18.42578125" bestFit="1" customWidth="1"/>
    <col min="325" max="325" width="15.85546875" bestFit="1" customWidth="1"/>
    <col min="326" max="326" width="16.140625" bestFit="1" customWidth="1"/>
    <col min="327" max="327" width="8.85546875" bestFit="1" customWidth="1"/>
    <col min="328" max="328" width="18.85546875" bestFit="1" customWidth="1"/>
    <col min="329" max="329" width="15.85546875" bestFit="1" customWidth="1"/>
    <col min="330" max="330" width="16.140625" bestFit="1" customWidth="1"/>
    <col min="331" max="331" width="18.85546875" bestFit="1" customWidth="1"/>
    <col min="332" max="332" width="15.85546875" bestFit="1" customWidth="1"/>
    <col min="333" max="334" width="13.42578125" bestFit="1" customWidth="1"/>
    <col min="335" max="335" width="15.85546875" bestFit="1" customWidth="1"/>
    <col min="336" max="336" width="13.42578125" bestFit="1" customWidth="1"/>
    <col min="337" max="337" width="14.28515625" bestFit="1" customWidth="1"/>
    <col min="338" max="338" width="15.85546875" bestFit="1" customWidth="1"/>
    <col min="339" max="339" width="15.5703125" bestFit="1" customWidth="1"/>
    <col min="340" max="340" width="18.42578125" bestFit="1" customWidth="1"/>
    <col min="341" max="341" width="15.85546875" bestFit="1" customWidth="1"/>
    <col min="342" max="342" width="15.5703125" bestFit="1" customWidth="1"/>
    <col min="343" max="343" width="18.42578125" bestFit="1" customWidth="1"/>
    <col min="344" max="344" width="15.85546875" bestFit="1" customWidth="1"/>
    <col min="345" max="345" width="16.140625" bestFit="1" customWidth="1"/>
    <col min="346" max="346" width="18.85546875" bestFit="1" customWidth="1"/>
    <col min="347" max="347" width="15.85546875" bestFit="1" customWidth="1"/>
    <col min="348" max="348" width="16.140625" bestFit="1" customWidth="1"/>
    <col min="349" max="349" width="18.85546875" bestFit="1" customWidth="1"/>
    <col min="350" max="350" width="15.85546875" bestFit="1" customWidth="1"/>
    <col min="351" max="351" width="17.5703125" bestFit="1" customWidth="1"/>
    <col min="352" max="352" width="20" bestFit="1" customWidth="1"/>
    <col min="353" max="353" width="15.85546875" bestFit="1" customWidth="1"/>
    <col min="354" max="354" width="13.42578125" bestFit="1" customWidth="1"/>
    <col min="355" max="355" width="14.28515625" bestFit="1" customWidth="1"/>
    <col min="356" max="356" width="15.85546875" bestFit="1" customWidth="1"/>
    <col min="357" max="357" width="16.140625" bestFit="1" customWidth="1"/>
    <col min="358" max="358" width="18.85546875" bestFit="1" customWidth="1"/>
    <col min="359" max="359" width="15.85546875" bestFit="1" customWidth="1"/>
    <col min="360" max="361" width="13.42578125" bestFit="1" customWidth="1"/>
    <col min="362" max="362" width="15.85546875" bestFit="1" customWidth="1"/>
    <col min="363" max="363" width="17.5703125" bestFit="1" customWidth="1"/>
    <col min="364" max="364" width="20" bestFit="1" customWidth="1"/>
    <col min="365" max="365" width="15.85546875" bestFit="1" customWidth="1"/>
    <col min="366" max="366" width="16.140625" bestFit="1" customWidth="1"/>
    <col min="367" max="367" width="10" bestFit="1" customWidth="1"/>
    <col min="368" max="368" width="18.85546875" bestFit="1" customWidth="1"/>
    <col min="369" max="369" width="15.85546875" bestFit="1" customWidth="1"/>
    <col min="370" max="370" width="13.42578125" bestFit="1" customWidth="1"/>
    <col min="371" max="371" width="14.28515625" bestFit="1" customWidth="1"/>
    <col min="372" max="372" width="15.85546875" bestFit="1" customWidth="1"/>
    <col min="373" max="373" width="16.140625" bestFit="1" customWidth="1"/>
    <col min="374" max="374" width="18.85546875" bestFit="1" customWidth="1"/>
    <col min="375" max="375" width="15.85546875" bestFit="1" customWidth="1"/>
    <col min="376" max="377" width="13.42578125" bestFit="1" customWidth="1"/>
    <col min="378" max="378" width="15.85546875" bestFit="1" customWidth="1"/>
    <col min="379" max="379" width="13.42578125" bestFit="1" customWidth="1"/>
    <col min="380" max="380" width="14.28515625" bestFit="1" customWidth="1"/>
    <col min="381" max="381" width="10.7109375" bestFit="1" customWidth="1"/>
    <col min="382" max="382" width="13.42578125" bestFit="1" customWidth="1"/>
    <col min="383" max="383" width="15.85546875" bestFit="1" customWidth="1"/>
    <col min="384" max="384" width="16.140625" bestFit="1" customWidth="1"/>
    <col min="385" max="385" width="18.85546875" bestFit="1" customWidth="1"/>
    <col min="386" max="386" width="15.85546875" bestFit="1" customWidth="1"/>
    <col min="387" max="387" width="11.28515625" bestFit="1" customWidth="1"/>
    <col min="388" max="388" width="15.85546875" bestFit="1" customWidth="1"/>
    <col min="389" max="389" width="13.42578125" bestFit="1" customWidth="1"/>
    <col min="390" max="390" width="12.42578125" bestFit="1" customWidth="1"/>
    <col min="391" max="391" width="13.42578125" bestFit="1" customWidth="1"/>
    <col min="392" max="392" width="15.85546875" bestFit="1" customWidth="1"/>
    <col min="393" max="393" width="16.140625" bestFit="1" customWidth="1"/>
    <col min="394" max="394" width="12.28515625" bestFit="1" customWidth="1"/>
    <col min="395" max="395" width="18.85546875" bestFit="1" customWidth="1"/>
    <col min="396" max="396" width="15.85546875" bestFit="1" customWidth="1"/>
    <col min="397" max="397" width="16.140625" bestFit="1" customWidth="1"/>
    <col min="398" max="398" width="13.85546875" bestFit="1" customWidth="1"/>
    <col min="399" max="399" width="18.85546875" bestFit="1" customWidth="1"/>
    <col min="400" max="400" width="15.85546875" bestFit="1" customWidth="1"/>
    <col min="401" max="401" width="13.42578125" bestFit="1" customWidth="1"/>
    <col min="402" max="402" width="12.28515625" bestFit="1" customWidth="1"/>
    <col min="403" max="403" width="14.28515625" bestFit="1" customWidth="1"/>
    <col min="404" max="404" width="15.85546875" bestFit="1" customWidth="1"/>
    <col min="405" max="405" width="13.42578125" bestFit="1" customWidth="1"/>
    <col min="406" max="406" width="15" bestFit="1" customWidth="1"/>
    <col min="407" max="407" width="13.42578125" bestFit="1" customWidth="1"/>
    <col min="408" max="408" width="15.85546875" bestFit="1" customWidth="1"/>
    <col min="409" max="409" width="13.42578125" bestFit="1" customWidth="1"/>
    <col min="410" max="410" width="13.85546875" bestFit="1" customWidth="1"/>
    <col min="411" max="411" width="14.28515625" bestFit="1" customWidth="1"/>
    <col min="412" max="412" width="10.7109375" bestFit="1" customWidth="1"/>
    <col min="413" max="413" width="12.42578125" bestFit="1" customWidth="1"/>
    <col min="414" max="414" width="13.42578125" bestFit="1" customWidth="1"/>
    <col min="415" max="415" width="15.85546875" bestFit="1" customWidth="1"/>
    <col min="416" max="416" width="15.5703125" bestFit="1" customWidth="1"/>
    <col min="417" max="417" width="12.28515625" bestFit="1" customWidth="1"/>
    <col min="418" max="418" width="18.42578125" bestFit="1" customWidth="1"/>
    <col min="419" max="419" width="15.85546875" bestFit="1" customWidth="1"/>
    <col min="420" max="420" width="16.140625" bestFit="1" customWidth="1"/>
    <col min="421" max="421" width="13.85546875" bestFit="1" customWidth="1"/>
    <col min="422" max="422" width="18.85546875" bestFit="1" customWidth="1"/>
    <col min="423" max="423" width="10.7109375" bestFit="1" customWidth="1"/>
    <col min="424" max="424" width="12.42578125" bestFit="1" customWidth="1"/>
    <col min="425" max="425" width="13.42578125" bestFit="1" customWidth="1"/>
    <col min="426" max="426" width="15.85546875" bestFit="1" customWidth="1"/>
    <col min="427" max="427" width="15.5703125" bestFit="1" customWidth="1"/>
    <col min="428" max="428" width="12.42578125" bestFit="1" customWidth="1"/>
    <col min="429" max="429" width="18.42578125" bestFit="1" customWidth="1"/>
    <col min="430" max="430" width="15.85546875" bestFit="1" customWidth="1"/>
    <col min="431" max="431" width="13.42578125" bestFit="1" customWidth="1"/>
    <col min="432" max="432" width="13.85546875" bestFit="1" customWidth="1"/>
    <col min="433" max="433" width="14.28515625" bestFit="1" customWidth="1"/>
    <col min="434" max="434" width="15.85546875" bestFit="1" customWidth="1"/>
    <col min="435" max="435" width="16.140625" bestFit="1" customWidth="1"/>
    <col min="436" max="436" width="12.28515625" bestFit="1" customWidth="1"/>
    <col min="437" max="437" width="18.85546875" bestFit="1" customWidth="1"/>
    <col min="438" max="438" width="15.85546875" bestFit="1" customWidth="1"/>
    <col min="439" max="439" width="15.5703125" bestFit="1" customWidth="1"/>
    <col min="440" max="440" width="12.42578125" bestFit="1" customWidth="1"/>
    <col min="441" max="441" width="18.42578125" bestFit="1" customWidth="1"/>
    <col min="442" max="442" width="15.85546875" bestFit="1" customWidth="1"/>
    <col min="443" max="443" width="16.140625" bestFit="1" customWidth="1"/>
    <col min="444" max="444" width="15" bestFit="1" customWidth="1"/>
    <col min="445" max="445" width="11.28515625" bestFit="1" customWidth="1"/>
    <col min="446" max="446" width="13.85546875" bestFit="1" customWidth="1"/>
    <col min="447" max="447" width="18.85546875" bestFit="1" customWidth="1"/>
    <col min="448" max="448" width="15.85546875" bestFit="1" customWidth="1"/>
    <col min="449" max="449" width="16.140625" bestFit="1" customWidth="1"/>
    <col min="450" max="450" width="12.28515625" bestFit="1" customWidth="1"/>
    <col min="451" max="451" width="18.85546875" bestFit="1" customWidth="1"/>
    <col min="452" max="452" width="15.85546875" bestFit="1" customWidth="1"/>
    <col min="453" max="453" width="13.42578125" bestFit="1" customWidth="1"/>
    <col min="454" max="454" width="15" bestFit="1" customWidth="1"/>
    <col min="455" max="455" width="13.42578125" bestFit="1" customWidth="1"/>
    <col min="456" max="456" width="15.85546875" bestFit="1" customWidth="1"/>
    <col min="457" max="457" width="13.42578125" bestFit="1" customWidth="1"/>
    <col min="458" max="458" width="13.85546875" bestFit="1" customWidth="1"/>
    <col min="459" max="459" width="14.28515625" bestFit="1" customWidth="1"/>
    <col min="460" max="460" width="15.85546875" bestFit="1" customWidth="1"/>
    <col min="461" max="461" width="15.5703125" bestFit="1" customWidth="1"/>
    <col min="462" max="462" width="15" bestFit="1" customWidth="1"/>
    <col min="463" max="463" width="18.42578125" bestFit="1" customWidth="1"/>
    <col min="464" max="464" width="15.85546875" bestFit="1" customWidth="1"/>
    <col min="465" max="465" width="15.5703125" bestFit="1" customWidth="1"/>
    <col min="466" max="466" width="12.42578125" bestFit="1" customWidth="1"/>
    <col min="467" max="467" width="18.42578125" bestFit="1" customWidth="1"/>
    <col min="468" max="468" width="15.85546875" bestFit="1" customWidth="1"/>
    <col min="469" max="469" width="16.140625" bestFit="1" customWidth="1"/>
    <col min="470" max="470" width="12.42578125" bestFit="1" customWidth="1"/>
    <col min="471" max="471" width="18.85546875" bestFit="1" customWidth="1"/>
    <col min="472" max="472" width="15.85546875" bestFit="1" customWidth="1"/>
    <col min="473" max="473" width="16.140625" bestFit="1" customWidth="1"/>
    <col min="474" max="474" width="12.28515625" bestFit="1" customWidth="1"/>
    <col min="475" max="475" width="18.85546875" bestFit="1" customWidth="1"/>
    <col min="476" max="476" width="15.85546875" bestFit="1" customWidth="1"/>
    <col min="477" max="477" width="17.5703125" bestFit="1" customWidth="1"/>
    <col min="478" max="478" width="13.85546875" bestFit="1" customWidth="1"/>
    <col min="479" max="479" width="20" bestFit="1" customWidth="1"/>
    <col min="480" max="480" width="15.85546875" bestFit="1" customWidth="1"/>
    <col min="481" max="481" width="13.42578125" bestFit="1" customWidth="1"/>
    <col min="482" max="482" width="12.28515625" bestFit="1" customWidth="1"/>
    <col min="483" max="483" width="14.28515625" bestFit="1" customWidth="1"/>
    <col min="484" max="484" width="15.85546875" bestFit="1" customWidth="1"/>
    <col min="485" max="485" width="16.140625" bestFit="1" customWidth="1"/>
    <col min="486" max="486" width="12.28515625" bestFit="1" customWidth="1"/>
    <col min="487" max="487" width="18.85546875" bestFit="1" customWidth="1"/>
    <col min="488" max="488" width="15.85546875" bestFit="1" customWidth="1"/>
    <col min="489" max="489" width="13.42578125" bestFit="1" customWidth="1"/>
    <col min="490" max="490" width="13.85546875" bestFit="1" customWidth="1"/>
    <col min="491" max="491" width="13.42578125" bestFit="1" customWidth="1"/>
    <col min="492" max="492" width="15.85546875" bestFit="1" customWidth="1"/>
    <col min="493" max="493" width="17.5703125" bestFit="1" customWidth="1"/>
    <col min="494" max="494" width="15" bestFit="1" customWidth="1"/>
    <col min="495" max="495" width="20" bestFit="1" customWidth="1"/>
    <col min="496" max="496" width="15.85546875" bestFit="1" customWidth="1"/>
    <col min="497" max="497" width="16.140625" bestFit="1" customWidth="1"/>
    <col min="498" max="499" width="12.42578125" bestFit="1" customWidth="1"/>
    <col min="500" max="500" width="15" bestFit="1" customWidth="1"/>
    <col min="501" max="501" width="18.85546875" bestFit="1" customWidth="1"/>
    <col min="502" max="502" width="15.85546875" bestFit="1" customWidth="1"/>
    <col min="503" max="503" width="13.42578125" bestFit="1" customWidth="1"/>
    <col min="504" max="504" width="13.85546875" bestFit="1" customWidth="1"/>
    <col min="505" max="505" width="14.28515625" bestFit="1" customWidth="1"/>
    <col min="506" max="506" width="15.85546875" bestFit="1" customWidth="1"/>
    <col min="507" max="507" width="16.140625" bestFit="1" customWidth="1"/>
    <col min="508" max="508" width="15" bestFit="1" customWidth="1"/>
    <col min="509" max="509" width="18.85546875" bestFit="1" customWidth="1"/>
    <col min="510" max="510" width="15.85546875" bestFit="1" customWidth="1"/>
    <col min="511" max="511" width="13.42578125" bestFit="1" customWidth="1"/>
    <col min="512" max="512" width="15" bestFit="1" customWidth="1"/>
    <col min="513" max="513" width="13.42578125" bestFit="1" customWidth="1"/>
    <col min="514" max="514" width="15.85546875" bestFit="1" customWidth="1"/>
    <col min="515" max="515" width="13.42578125" bestFit="1" customWidth="1"/>
    <col min="516" max="516" width="15" bestFit="1" customWidth="1"/>
    <col min="517" max="517" width="14.28515625" bestFit="1" customWidth="1"/>
    <col min="518" max="518" width="12.42578125" bestFit="1" customWidth="1"/>
    <col min="519" max="519" width="15" bestFit="1" customWidth="1"/>
    <col min="520" max="520" width="13.42578125" bestFit="1" customWidth="1"/>
    <col min="521" max="521" width="15.85546875" bestFit="1" customWidth="1"/>
    <col min="522" max="522" width="16.140625" bestFit="1" customWidth="1"/>
    <col min="523" max="523" width="12.28515625" bestFit="1" customWidth="1"/>
    <col min="524" max="524" width="18.85546875" bestFit="1" customWidth="1"/>
    <col min="525" max="525" width="15.85546875" bestFit="1" customWidth="1"/>
    <col min="526" max="526" width="11.28515625" bestFit="1" customWidth="1"/>
  </cols>
  <sheetData>
    <row r="1" spans="1:22" x14ac:dyDescent="0.25">
      <c r="B1" s="18" t="s">
        <v>430</v>
      </c>
    </row>
    <row r="2" spans="1:22" x14ac:dyDescent="0.25">
      <c r="B2" t="s">
        <v>427</v>
      </c>
      <c r="D2" t="s">
        <v>306</v>
      </c>
      <c r="F2" t="s">
        <v>312</v>
      </c>
      <c r="H2" t="s">
        <v>320</v>
      </c>
      <c r="J2" t="s">
        <v>316</v>
      </c>
      <c r="L2" t="s">
        <v>431</v>
      </c>
      <c r="M2" t="s">
        <v>446</v>
      </c>
      <c r="P2" s="18" t="s">
        <v>428</v>
      </c>
      <c r="Q2" s="18" t="s">
        <v>430</v>
      </c>
    </row>
    <row r="3" spans="1:22" x14ac:dyDescent="0.25">
      <c r="A3" s="18" t="s">
        <v>425</v>
      </c>
      <c r="B3" t="s">
        <v>428</v>
      </c>
      <c r="C3" t="s">
        <v>447</v>
      </c>
      <c r="D3" t="s">
        <v>428</v>
      </c>
      <c r="E3" t="s">
        <v>447</v>
      </c>
      <c r="F3" t="s">
        <v>428</v>
      </c>
      <c r="G3" t="s">
        <v>447</v>
      </c>
      <c r="H3" t="s">
        <v>428</v>
      </c>
      <c r="I3" t="s">
        <v>447</v>
      </c>
      <c r="J3" t="s">
        <v>428</v>
      </c>
      <c r="K3" t="s">
        <v>447</v>
      </c>
      <c r="P3" s="18" t="s">
        <v>425</v>
      </c>
      <c r="Q3" t="s">
        <v>427</v>
      </c>
      <c r="R3" t="s">
        <v>306</v>
      </c>
      <c r="S3" t="s">
        <v>312</v>
      </c>
      <c r="T3" t="s">
        <v>320</v>
      </c>
      <c r="U3" t="s">
        <v>316</v>
      </c>
      <c r="V3" t="s">
        <v>426</v>
      </c>
    </row>
    <row r="4" spans="1:22" x14ac:dyDescent="0.25">
      <c r="A4" s="19" t="s">
        <v>38</v>
      </c>
      <c r="B4" s="17">
        <v>64.98</v>
      </c>
      <c r="C4" s="17">
        <v>10.83</v>
      </c>
      <c r="D4" s="17">
        <v>566.86999999999989</v>
      </c>
      <c r="E4" s="17">
        <v>11.337399999999997</v>
      </c>
      <c r="F4" s="17">
        <v>735.61</v>
      </c>
      <c r="G4" s="17">
        <v>13.622407407407408</v>
      </c>
      <c r="H4" s="17">
        <v>502.81999999999994</v>
      </c>
      <c r="I4" s="17">
        <v>11.173777777777776</v>
      </c>
      <c r="J4" s="17">
        <v>220.16</v>
      </c>
      <c r="K4" s="17">
        <v>8.1540740740740745</v>
      </c>
      <c r="L4" s="17">
        <v>2090.44</v>
      </c>
      <c r="M4" s="17">
        <v>11.485934065934066</v>
      </c>
      <c r="P4" s="19" t="s">
        <v>38</v>
      </c>
      <c r="Q4" s="24">
        <v>3.1084365014064027E-2</v>
      </c>
      <c r="R4" s="24">
        <v>0.27117257610837908</v>
      </c>
      <c r="S4" s="24">
        <v>0.3518924245613364</v>
      </c>
      <c r="T4" s="24">
        <v>0.24053309351141386</v>
      </c>
      <c r="U4" s="24">
        <v>0.10531754080480664</v>
      </c>
      <c r="V4" s="24">
        <v>1</v>
      </c>
    </row>
    <row r="5" spans="1:22" x14ac:dyDescent="0.25">
      <c r="A5" s="20" t="s">
        <v>433</v>
      </c>
      <c r="B5" s="17">
        <v>64.98</v>
      </c>
      <c r="C5" s="17">
        <v>10.83</v>
      </c>
      <c r="D5" s="17">
        <v>37.11</v>
      </c>
      <c r="E5" s="17">
        <v>12.37</v>
      </c>
      <c r="F5" s="17"/>
      <c r="G5" s="17" t="e">
        <v>#DIV/0!</v>
      </c>
      <c r="H5" s="17"/>
      <c r="I5" s="17" t="e">
        <v>#DIV/0!</v>
      </c>
      <c r="J5" s="17"/>
      <c r="K5" s="17" t="e">
        <v>#DIV/0!</v>
      </c>
      <c r="L5" s="17">
        <v>102.09</v>
      </c>
      <c r="M5" s="17">
        <v>11.343333333333334</v>
      </c>
      <c r="P5" s="19" t="s">
        <v>426</v>
      </c>
      <c r="Q5" s="24">
        <v>3.1084365014064027E-2</v>
      </c>
      <c r="R5" s="24">
        <v>0.27117257610837908</v>
      </c>
      <c r="S5" s="24">
        <v>0.3518924245613364</v>
      </c>
      <c r="T5" s="24">
        <v>0.24053309351141386</v>
      </c>
      <c r="U5" s="24">
        <v>0.10531754080480664</v>
      </c>
      <c r="V5" s="24">
        <v>1</v>
      </c>
    </row>
    <row r="6" spans="1:22" x14ac:dyDescent="0.25">
      <c r="A6" s="20" t="s">
        <v>434</v>
      </c>
      <c r="B6" s="17"/>
      <c r="C6" s="17" t="e">
        <v>#DIV/0!</v>
      </c>
      <c r="D6" s="17"/>
      <c r="E6" s="17" t="e">
        <v>#DIV/0!</v>
      </c>
      <c r="F6" s="17"/>
      <c r="G6" s="17" t="e">
        <v>#DIV/0!</v>
      </c>
      <c r="H6" s="17">
        <v>172.48</v>
      </c>
      <c r="I6" s="17">
        <v>21.56</v>
      </c>
      <c r="J6" s="17"/>
      <c r="K6" s="17" t="e">
        <v>#DIV/0!</v>
      </c>
      <c r="L6" s="17">
        <v>172.48</v>
      </c>
      <c r="M6" s="17">
        <v>21.56</v>
      </c>
    </row>
    <row r="7" spans="1:22" x14ac:dyDescent="0.25">
      <c r="A7" s="20" t="s">
        <v>435</v>
      </c>
      <c r="B7" s="17"/>
      <c r="C7" s="17" t="e">
        <v>#DIV/0!</v>
      </c>
      <c r="D7" s="17">
        <v>43.1</v>
      </c>
      <c r="E7" s="17">
        <v>8.620000000000001</v>
      </c>
      <c r="F7" s="17">
        <v>164.5</v>
      </c>
      <c r="G7" s="17">
        <v>16.45</v>
      </c>
      <c r="H7" s="17">
        <v>121.65</v>
      </c>
      <c r="I7" s="17">
        <v>5.7928571428571427</v>
      </c>
      <c r="J7" s="17">
        <v>68.13</v>
      </c>
      <c r="K7" s="17">
        <v>7.5699999999999994</v>
      </c>
      <c r="L7" s="17">
        <v>397.38</v>
      </c>
      <c r="M7" s="17">
        <v>8.8306666666666658</v>
      </c>
    </row>
    <row r="8" spans="1:22" x14ac:dyDescent="0.25">
      <c r="A8" s="20" t="s">
        <v>436</v>
      </c>
      <c r="B8" s="17"/>
      <c r="C8" s="17" t="e">
        <v>#DIV/0!</v>
      </c>
      <c r="D8" s="17">
        <v>126.55000000000001</v>
      </c>
      <c r="E8" s="17">
        <v>11.504545454545456</v>
      </c>
      <c r="F8" s="17">
        <v>169.95</v>
      </c>
      <c r="G8" s="17">
        <v>15.45</v>
      </c>
      <c r="H8" s="17">
        <v>123.58</v>
      </c>
      <c r="I8" s="17">
        <v>17.654285714285713</v>
      </c>
      <c r="J8" s="17"/>
      <c r="K8" s="17" t="e">
        <v>#DIV/0!</v>
      </c>
      <c r="L8" s="17">
        <v>420.08</v>
      </c>
      <c r="M8" s="17">
        <v>14.485517241379309</v>
      </c>
    </row>
    <row r="9" spans="1:22" x14ac:dyDescent="0.25">
      <c r="A9" s="20" t="s">
        <v>437</v>
      </c>
      <c r="B9" s="17"/>
      <c r="C9" s="17" t="e">
        <v>#DIV/0!</v>
      </c>
      <c r="D9" s="17"/>
      <c r="E9" s="17" t="e">
        <v>#DIV/0!</v>
      </c>
      <c r="F9" s="17"/>
      <c r="G9" s="17" t="e">
        <v>#DIV/0!</v>
      </c>
      <c r="H9" s="17">
        <v>45.7</v>
      </c>
      <c r="I9" s="17">
        <v>22.85</v>
      </c>
      <c r="J9" s="17">
        <v>16.66</v>
      </c>
      <c r="K9" s="17">
        <v>8.33</v>
      </c>
      <c r="L9" s="17">
        <v>62.36</v>
      </c>
      <c r="M9" s="17">
        <v>15.59</v>
      </c>
    </row>
    <row r="10" spans="1:22" x14ac:dyDescent="0.25">
      <c r="A10" s="20" t="s">
        <v>438</v>
      </c>
      <c r="B10" s="17"/>
      <c r="C10" s="17" t="e">
        <v>#DIV/0!</v>
      </c>
      <c r="D10" s="17">
        <v>144.62</v>
      </c>
      <c r="E10" s="17">
        <v>10.33</v>
      </c>
      <c r="F10" s="17"/>
      <c r="G10" s="17" t="e">
        <v>#DIV/0!</v>
      </c>
      <c r="H10" s="17"/>
      <c r="I10" s="17" t="e">
        <v>#DIV/0!</v>
      </c>
      <c r="J10" s="17">
        <v>135.37</v>
      </c>
      <c r="K10" s="17">
        <v>8.4606250000000003</v>
      </c>
      <c r="L10" s="17">
        <v>279.99</v>
      </c>
      <c r="M10" s="17">
        <v>9.3330000000000002</v>
      </c>
    </row>
    <row r="11" spans="1:22" x14ac:dyDescent="0.25">
      <c r="A11" s="20" t="s">
        <v>439</v>
      </c>
      <c r="B11" s="17"/>
      <c r="C11" s="17" t="e">
        <v>#DIV/0!</v>
      </c>
      <c r="D11" s="17"/>
      <c r="E11" s="17" t="e">
        <v>#DIV/0!</v>
      </c>
      <c r="F11" s="17">
        <v>230.72000000000003</v>
      </c>
      <c r="G11" s="17">
        <v>11.536000000000001</v>
      </c>
      <c r="H11" s="17"/>
      <c r="I11" s="17" t="e">
        <v>#DIV/0!</v>
      </c>
      <c r="J11" s="17"/>
      <c r="K11" s="17" t="e">
        <v>#DIV/0!</v>
      </c>
      <c r="L11" s="17">
        <v>230.72000000000003</v>
      </c>
      <c r="M11" s="17">
        <v>11.536000000000001</v>
      </c>
    </row>
    <row r="12" spans="1:22" x14ac:dyDescent="0.25">
      <c r="A12" s="20" t="s">
        <v>440</v>
      </c>
      <c r="B12" s="17"/>
      <c r="C12" s="17" t="e">
        <v>#DIV/0!</v>
      </c>
      <c r="D12" s="17">
        <v>156.24</v>
      </c>
      <c r="E12" s="17">
        <v>13.020000000000001</v>
      </c>
      <c r="F12" s="17"/>
      <c r="G12" s="17" t="e">
        <v>#DIV/0!</v>
      </c>
      <c r="H12" s="17">
        <v>39.409999999999997</v>
      </c>
      <c r="I12" s="17">
        <v>5.63</v>
      </c>
      <c r="J12" s="17"/>
      <c r="K12" s="17" t="e">
        <v>#DIV/0!</v>
      </c>
      <c r="L12" s="17">
        <v>195.65</v>
      </c>
      <c r="M12" s="17">
        <v>10.297368421052632</v>
      </c>
    </row>
    <row r="13" spans="1:22" x14ac:dyDescent="0.25">
      <c r="A13" s="20" t="s">
        <v>441</v>
      </c>
      <c r="B13" s="17"/>
      <c r="C13" s="17" t="e">
        <v>#DIV/0!</v>
      </c>
      <c r="D13" s="17"/>
      <c r="E13" s="17" t="e">
        <v>#DIV/0!</v>
      </c>
      <c r="F13" s="17">
        <v>59.56</v>
      </c>
      <c r="G13" s="17">
        <v>14.89</v>
      </c>
      <c r="H13" s="17"/>
      <c r="I13" s="17" t="e">
        <v>#DIV/0!</v>
      </c>
      <c r="J13" s="17"/>
      <c r="K13" s="17" t="e">
        <v>#DIV/0!</v>
      </c>
      <c r="L13" s="17">
        <v>59.56</v>
      </c>
      <c r="M13" s="17">
        <v>14.89</v>
      </c>
    </row>
    <row r="14" spans="1:22" x14ac:dyDescent="0.25">
      <c r="A14" s="20" t="s">
        <v>442</v>
      </c>
      <c r="B14" s="17"/>
      <c r="C14" s="17" t="e">
        <v>#DIV/0!</v>
      </c>
      <c r="D14" s="17">
        <v>59.25</v>
      </c>
      <c r="E14" s="17">
        <v>11.85</v>
      </c>
      <c r="F14" s="17">
        <v>110.88</v>
      </c>
      <c r="G14" s="17">
        <v>12.32</v>
      </c>
      <c r="H14" s="17"/>
      <c r="I14" s="17" t="e">
        <v>#DIV/0!</v>
      </c>
      <c r="J14" s="17"/>
      <c r="K14" s="17" t="e">
        <v>#DIV/0!</v>
      </c>
      <c r="L14" s="17">
        <v>170.13</v>
      </c>
      <c r="M14" s="17">
        <v>12.152142857142858</v>
      </c>
    </row>
    <row r="15" spans="1:22" x14ac:dyDescent="0.25">
      <c r="A15" s="19" t="s">
        <v>426</v>
      </c>
      <c r="B15" s="17">
        <v>64.98</v>
      </c>
      <c r="C15" s="17">
        <v>10.83</v>
      </c>
      <c r="D15" s="17">
        <v>566.86999999999989</v>
      </c>
      <c r="E15" s="17">
        <v>11.337399999999997</v>
      </c>
      <c r="F15" s="17">
        <v>735.61</v>
      </c>
      <c r="G15" s="17">
        <v>13.622407407407408</v>
      </c>
      <c r="H15" s="17">
        <v>502.81999999999994</v>
      </c>
      <c r="I15" s="17">
        <v>11.173777777777776</v>
      </c>
      <c r="J15" s="17">
        <v>220.16</v>
      </c>
      <c r="K15" s="17">
        <v>8.1540740740740745</v>
      </c>
      <c r="L15" s="17">
        <v>2090.44</v>
      </c>
      <c r="M15" s="17">
        <v>11.485934065934066</v>
      </c>
    </row>
    <row r="260" spans="10:19" x14ac:dyDescent="0.25">
      <c r="J260" s="21"/>
      <c r="K260" s="23"/>
      <c r="L260" s="23"/>
      <c r="M260" s="23"/>
      <c r="N260" s="23"/>
      <c r="O260" s="23"/>
      <c r="P260" s="23"/>
      <c r="Q260" s="23"/>
      <c r="R260" s="23"/>
      <c r="S260" s="23"/>
    </row>
    <row r="261" spans="10:19" x14ac:dyDescent="0.25">
      <c r="J261" s="23"/>
      <c r="K261" s="23"/>
      <c r="L261" s="23"/>
      <c r="M261" s="23"/>
      <c r="N261" s="23"/>
      <c r="O261" s="23"/>
      <c r="P261" s="23"/>
      <c r="Q261" s="23"/>
      <c r="R261" s="23"/>
      <c r="S261" s="23"/>
    </row>
    <row r="262" spans="10:19" x14ac:dyDescent="0.25">
      <c r="J262" s="21"/>
      <c r="K262" s="23"/>
      <c r="L262" s="23"/>
      <c r="M262" s="23"/>
      <c r="N262" s="23"/>
      <c r="O262" s="23"/>
      <c r="P262" s="23"/>
      <c r="Q262" s="23"/>
      <c r="R262" s="23"/>
      <c r="S262" s="23"/>
    </row>
    <row r="263" spans="10:19" x14ac:dyDescent="0.25">
      <c r="J263" s="23"/>
      <c r="K263" s="23"/>
      <c r="L263" s="23"/>
      <c r="M263" s="23"/>
      <c r="N263" s="23"/>
      <c r="O263" s="23"/>
      <c r="P263" s="23"/>
      <c r="Q263" s="23"/>
      <c r="R263" s="23"/>
      <c r="S263" s="23"/>
    </row>
    <row r="264" spans="10:19" x14ac:dyDescent="0.25">
      <c r="J264" s="21"/>
      <c r="K264" s="23"/>
      <c r="L264" s="23"/>
      <c r="M264" s="23"/>
      <c r="N264" s="23"/>
      <c r="O264" s="23"/>
      <c r="P264" s="23"/>
      <c r="Q264" s="23"/>
      <c r="R264" s="23"/>
      <c r="S264" s="23"/>
    </row>
    <row r="265" spans="10:19" x14ac:dyDescent="0.25">
      <c r="J265" s="23"/>
      <c r="K265" s="23"/>
      <c r="L265" s="23"/>
      <c r="M265" s="23"/>
      <c r="N265" s="23"/>
      <c r="O265" s="23"/>
      <c r="P265" s="23"/>
      <c r="Q265" s="23"/>
      <c r="R265" s="23"/>
      <c r="S265" s="23"/>
    </row>
    <row r="266" spans="10:19" x14ac:dyDescent="0.25">
      <c r="J266" s="21"/>
      <c r="K266" s="23"/>
      <c r="L266" s="23"/>
      <c r="M266" s="23"/>
      <c r="N266" s="23"/>
      <c r="O266" s="23"/>
      <c r="P266" s="23"/>
      <c r="Q266" s="23"/>
      <c r="R266" s="23"/>
      <c r="S266" s="23"/>
    </row>
    <row r="267" spans="10:19" x14ac:dyDescent="0.25">
      <c r="J267" s="23"/>
      <c r="K267" s="23"/>
      <c r="L267" s="23"/>
      <c r="M267" s="23"/>
      <c r="N267" s="23"/>
      <c r="O267" s="23"/>
      <c r="P267" s="23"/>
      <c r="Q267" s="23"/>
      <c r="R267" s="23"/>
      <c r="S267" s="23"/>
    </row>
    <row r="268" spans="10:19" x14ac:dyDescent="0.25">
      <c r="J268" s="21"/>
      <c r="K268" s="23"/>
      <c r="L268" s="23"/>
      <c r="M268" s="23"/>
      <c r="N268" s="23"/>
      <c r="O268" s="23"/>
      <c r="P268" s="23"/>
      <c r="Q268" s="23"/>
      <c r="R268" s="23"/>
      <c r="S268" s="23"/>
    </row>
    <row r="269" spans="10:19" x14ac:dyDescent="0.25">
      <c r="J269" s="23"/>
      <c r="K269" s="23"/>
      <c r="L269" s="23"/>
      <c r="M269" s="23"/>
      <c r="N269" s="23"/>
      <c r="O269" s="23"/>
      <c r="P269" s="23"/>
      <c r="Q269" s="23"/>
      <c r="R269" s="23"/>
      <c r="S269" s="23"/>
    </row>
    <row r="270" spans="10:19" x14ac:dyDescent="0.25">
      <c r="J270" s="21"/>
      <c r="K270" s="23"/>
      <c r="L270" s="23"/>
      <c r="M270" s="23"/>
      <c r="N270" s="23"/>
      <c r="O270" s="23"/>
      <c r="P270" s="23"/>
      <c r="Q270" s="23"/>
      <c r="R270" s="23"/>
      <c r="S270" s="23"/>
    </row>
    <row r="271" spans="10:19" x14ac:dyDescent="0.25">
      <c r="J271" s="23"/>
      <c r="K271" s="23"/>
      <c r="L271" s="23"/>
      <c r="M271" s="23"/>
      <c r="N271" s="23"/>
      <c r="O271" s="23"/>
      <c r="P271" s="23"/>
      <c r="Q271" s="23"/>
      <c r="R271" s="23"/>
      <c r="S271" s="23"/>
    </row>
    <row r="272" spans="10:19" x14ac:dyDescent="0.25">
      <c r="J272" s="21"/>
      <c r="K272" s="23"/>
      <c r="L272" s="23"/>
      <c r="M272" s="23"/>
      <c r="N272" s="23"/>
      <c r="O272" s="23"/>
      <c r="P272" s="23"/>
      <c r="Q272" s="23"/>
      <c r="R272" s="23"/>
      <c r="S272" s="23"/>
    </row>
    <row r="273" spans="10:19" x14ac:dyDescent="0.25">
      <c r="J273" s="19"/>
      <c r="K273" s="23"/>
      <c r="L273" s="23"/>
      <c r="M273" s="23"/>
      <c r="N273" s="23"/>
      <c r="O273" s="23"/>
      <c r="P273" s="23"/>
      <c r="Q273" s="23"/>
      <c r="R273" s="23"/>
      <c r="S273" s="23"/>
    </row>
    <row r="274" spans="10:19" x14ac:dyDescent="0.25">
      <c r="J274" s="20"/>
      <c r="K274" s="23"/>
      <c r="L274" s="23"/>
      <c r="M274" s="23"/>
      <c r="N274" s="23"/>
      <c r="O274" s="23"/>
      <c r="P274" s="23"/>
      <c r="Q274" s="23"/>
      <c r="R274" s="23"/>
      <c r="S274" s="23"/>
    </row>
    <row r="275" spans="10:19" x14ac:dyDescent="0.25">
      <c r="J275" s="21"/>
      <c r="K275" s="23"/>
      <c r="L275" s="23"/>
      <c r="M275" s="23"/>
      <c r="N275" s="23"/>
      <c r="O275" s="23"/>
      <c r="P275" s="23"/>
      <c r="Q275" s="23"/>
      <c r="R275" s="23"/>
      <c r="S275" s="23"/>
    </row>
    <row r="276" spans="10:19" x14ac:dyDescent="0.25">
      <c r="J276" s="19"/>
      <c r="K276" s="23"/>
      <c r="L276" s="23"/>
      <c r="M276" s="23"/>
      <c r="N276" s="23"/>
      <c r="O276" s="23"/>
      <c r="P276" s="23"/>
      <c r="Q276" s="23"/>
      <c r="R276" s="23"/>
      <c r="S276" s="23"/>
    </row>
    <row r="277" spans="10:19" x14ac:dyDescent="0.25">
      <c r="K277" s="23"/>
      <c r="L277" s="23"/>
      <c r="M277" s="23"/>
      <c r="N277" s="23"/>
      <c r="O277" s="23"/>
      <c r="P277" s="23"/>
      <c r="Q277" s="23"/>
      <c r="R277" s="23"/>
      <c r="S277" s="23"/>
    </row>
    <row r="278" spans="10:19" x14ac:dyDescent="0.25">
      <c r="K278" s="23"/>
      <c r="L278" s="23"/>
      <c r="M278" s="23"/>
      <c r="N278" s="23"/>
      <c r="O278" s="23"/>
      <c r="P278" s="23"/>
      <c r="Q278" s="23"/>
      <c r="R278" s="23"/>
      <c r="S278" s="23"/>
    </row>
    <row r="279" spans="10:19" x14ac:dyDescent="0.25">
      <c r="K279" s="23"/>
      <c r="L279" s="23"/>
      <c r="M279" s="23"/>
      <c r="N279" s="23"/>
      <c r="O279" s="23"/>
      <c r="P279" s="23"/>
      <c r="Q279" s="23"/>
      <c r="R279" s="23"/>
      <c r="S279" s="23"/>
    </row>
  </sheetData>
  <phoneticPr fontId="10" type="noConversion"/>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6"/>
  <sheetViews>
    <sheetView showGridLines="0" zoomScaleNormal="100" workbookViewId="0">
      <selection activeCell="B26" sqref="B26"/>
    </sheetView>
  </sheetViews>
  <sheetFormatPr defaultColWidth="8.7109375" defaultRowHeight="15" x14ac:dyDescent="0.25"/>
  <cols>
    <col min="1" max="1" width="3" customWidth="1"/>
    <col min="2" max="6" width="20" customWidth="1"/>
  </cols>
  <sheetData>
    <row r="1" spans="1:6" ht="25.5" customHeight="1" x14ac:dyDescent="0.25">
      <c r="A1" s="27" t="s">
        <v>386</v>
      </c>
      <c r="B1" s="27"/>
      <c r="C1" s="27"/>
      <c r="D1" s="27"/>
      <c r="E1" s="27"/>
      <c r="F1" s="27"/>
    </row>
    <row r="3" spans="1:6" x14ac:dyDescent="0.25">
      <c r="B3" s="3" t="s">
        <v>387</v>
      </c>
    </row>
    <row r="4" spans="1:6" ht="27.75" customHeight="1" x14ac:dyDescent="0.25">
      <c r="B4" s="26" t="s">
        <v>388</v>
      </c>
      <c r="C4" s="26"/>
      <c r="D4" s="26"/>
      <c r="E4" s="26"/>
      <c r="F4" s="26"/>
    </row>
    <row r="5" spans="1:6" x14ac:dyDescent="0.25">
      <c r="B5" s="10" t="s">
        <v>380</v>
      </c>
    </row>
    <row r="6" spans="1:6" ht="19.5" customHeight="1" x14ac:dyDescent="0.25">
      <c r="B6" s="11" t="s">
        <v>429</v>
      </c>
    </row>
    <row r="8" spans="1:6" x14ac:dyDescent="0.25">
      <c r="B8" s="3" t="s">
        <v>389</v>
      </c>
    </row>
    <row r="9" spans="1:6" ht="18" customHeight="1" x14ac:dyDescent="0.25">
      <c r="B9" s="26" t="s">
        <v>390</v>
      </c>
      <c r="C9" s="26"/>
      <c r="D9" s="26"/>
      <c r="E9" s="26"/>
      <c r="F9" s="26"/>
    </row>
    <row r="10" spans="1:6" x14ac:dyDescent="0.25">
      <c r="B10" s="10" t="s">
        <v>380</v>
      </c>
    </row>
    <row r="11" spans="1:6" ht="19.5" customHeight="1" x14ac:dyDescent="0.25">
      <c r="B11" s="25" t="s">
        <v>429</v>
      </c>
    </row>
    <row r="13" spans="1:6" x14ac:dyDescent="0.25">
      <c r="B13" s="3" t="s">
        <v>391</v>
      </c>
    </row>
    <row r="14" spans="1:6" ht="27.75" customHeight="1" x14ac:dyDescent="0.25">
      <c r="B14" s="26" t="s">
        <v>392</v>
      </c>
      <c r="C14" s="26"/>
      <c r="D14" s="26"/>
      <c r="E14" s="26"/>
      <c r="F14" s="26"/>
    </row>
    <row r="15" spans="1:6" x14ac:dyDescent="0.25">
      <c r="B15" s="10" t="s">
        <v>380</v>
      </c>
    </row>
    <row r="16" spans="1:6" ht="19.5" customHeight="1" x14ac:dyDescent="0.25">
      <c r="B16" s="25" t="s">
        <v>429</v>
      </c>
    </row>
    <row r="18" spans="2:6" x14ac:dyDescent="0.25">
      <c r="B18" s="3" t="s">
        <v>393</v>
      </c>
    </row>
    <row r="19" spans="2:6" ht="18" customHeight="1" x14ac:dyDescent="0.25">
      <c r="B19" s="26" t="s">
        <v>394</v>
      </c>
      <c r="C19" s="26"/>
      <c r="D19" s="26"/>
      <c r="E19" s="26"/>
      <c r="F19" s="26"/>
    </row>
    <row r="20" spans="2:6" x14ac:dyDescent="0.25">
      <c r="B20" s="10" t="s">
        <v>380</v>
      </c>
    </row>
    <row r="21" spans="2:6" ht="19.5" customHeight="1" x14ac:dyDescent="0.25">
      <c r="B21" s="25" t="s">
        <v>429</v>
      </c>
    </row>
    <row r="23" spans="2:6" x14ac:dyDescent="0.25">
      <c r="B23" s="3" t="s">
        <v>395</v>
      </c>
    </row>
    <row r="24" spans="2:6" ht="27.75" customHeight="1" x14ac:dyDescent="0.25">
      <c r="B24" s="26" t="s">
        <v>396</v>
      </c>
      <c r="C24" s="26"/>
      <c r="D24" s="26"/>
      <c r="E24" s="26"/>
      <c r="F24" s="26"/>
    </row>
    <row r="25" spans="2:6" x14ac:dyDescent="0.25">
      <c r="B25" s="10" t="s">
        <v>326</v>
      </c>
    </row>
    <row r="26" spans="2:6" ht="19.5" customHeight="1" x14ac:dyDescent="0.25">
      <c r="B26" s="11" t="s">
        <v>448</v>
      </c>
    </row>
  </sheetData>
  <mergeCells count="6">
    <mergeCell ref="B24:F24"/>
    <mergeCell ref="A1:F1"/>
    <mergeCell ref="B4:F4"/>
    <mergeCell ref="B9:F9"/>
    <mergeCell ref="B14:F14"/>
    <mergeCell ref="B19:F19"/>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48B2E-C457-4983-9B8D-EE18C0D32EE3}">
  <dimension ref="A1"/>
  <sheetViews>
    <sheetView topLeftCell="A4" workbookViewId="0">
      <selection activeCell="O13" sqref="O13"/>
    </sheetView>
  </sheetViews>
  <sheetFormatPr defaultRowHeight="15" x14ac:dyDescent="0.25"/>
  <cols>
    <col min="1" max="1" width="15" bestFit="1" customWidth="1"/>
    <col min="2" max="2" width="15.7109375" bestFit="1" customWidth="1"/>
    <col min="3" max="3" width="13.85546875" bestFit="1" customWidth="1"/>
    <col min="4" max="4" width="13.42578125" bestFit="1" customWidth="1"/>
    <col min="5" max="5" width="9.28515625" bestFit="1" customWidth="1"/>
    <col min="6" max="6" width="8.42578125" bestFit="1" customWidth="1"/>
    <col min="7" max="7" width="7.28515625" bestFit="1" customWidth="1"/>
    <col min="8" max="8" width="11.28515625" bestFit="1" customWidth="1"/>
    <col min="9" max="10" width="8" bestFit="1" customWidth="1"/>
    <col min="11" max="14" width="7" bestFit="1" customWidth="1"/>
    <col min="15" max="15" width="11.28515625" bestFit="1" customWidth="1"/>
  </cols>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6"/>
  <sheetViews>
    <sheetView showGridLines="0" zoomScaleNormal="100" workbookViewId="0">
      <selection activeCell="B17" sqref="B17"/>
    </sheetView>
  </sheetViews>
  <sheetFormatPr defaultColWidth="8.7109375" defaultRowHeight="15" x14ac:dyDescent="0.25"/>
  <cols>
    <col min="1" max="1" width="3" customWidth="1"/>
    <col min="2" max="6" width="20" customWidth="1"/>
  </cols>
  <sheetData>
    <row r="1" spans="1:6" ht="25.5" customHeight="1" x14ac:dyDescent="0.25">
      <c r="A1" s="27" t="s">
        <v>397</v>
      </c>
      <c r="B1" s="27"/>
      <c r="C1" s="27"/>
      <c r="D1" s="27"/>
      <c r="E1" s="27"/>
      <c r="F1" s="27"/>
    </row>
    <row r="3" spans="1:6" x14ac:dyDescent="0.25">
      <c r="B3" s="3" t="s">
        <v>398</v>
      </c>
    </row>
    <row r="4" spans="1:6" ht="18" customHeight="1" x14ac:dyDescent="0.25">
      <c r="B4" s="26" t="s">
        <v>399</v>
      </c>
      <c r="C4" s="26"/>
      <c r="D4" s="26"/>
      <c r="E4" s="26"/>
      <c r="F4" s="26"/>
    </row>
    <row r="5" spans="1:6" x14ac:dyDescent="0.25">
      <c r="B5" s="10" t="s">
        <v>380</v>
      </c>
    </row>
    <row r="6" spans="1:6" ht="19.5" customHeight="1" x14ac:dyDescent="0.25">
      <c r="B6" s="11" t="s">
        <v>443</v>
      </c>
    </row>
    <row r="8" spans="1:6" x14ac:dyDescent="0.25">
      <c r="B8" s="3" t="s">
        <v>400</v>
      </c>
    </row>
    <row r="9" spans="1:6" ht="27.75" customHeight="1" x14ac:dyDescent="0.25">
      <c r="B9" s="26" t="s">
        <v>401</v>
      </c>
      <c r="C9" s="26"/>
      <c r="D9" s="26"/>
      <c r="E9" s="26"/>
      <c r="F9" s="26"/>
    </row>
    <row r="10" spans="1:6" x14ac:dyDescent="0.25">
      <c r="B10" s="10" t="s">
        <v>380</v>
      </c>
    </row>
    <row r="11" spans="1:6" ht="19.5" customHeight="1" x14ac:dyDescent="0.25">
      <c r="B11" s="25" t="s">
        <v>429</v>
      </c>
    </row>
    <row r="13" spans="1:6" x14ac:dyDescent="0.25">
      <c r="B13" s="3" t="s">
        <v>402</v>
      </c>
    </row>
    <row r="14" spans="1:6" ht="27.75" customHeight="1" x14ac:dyDescent="0.25">
      <c r="B14" s="26" t="s">
        <v>403</v>
      </c>
      <c r="C14" s="26"/>
      <c r="D14" s="26"/>
      <c r="E14" s="26"/>
      <c r="F14" s="26"/>
    </row>
    <row r="15" spans="1:6" x14ac:dyDescent="0.25">
      <c r="B15" s="10" t="s">
        <v>404</v>
      </c>
    </row>
    <row r="16" spans="1:6" ht="19.5" customHeight="1" x14ac:dyDescent="0.25">
      <c r="B16" s="25" t="s">
        <v>445</v>
      </c>
    </row>
  </sheetData>
  <mergeCells count="4">
    <mergeCell ref="A1:F1"/>
    <mergeCell ref="B4:F4"/>
    <mergeCell ref="B9:F9"/>
    <mergeCell ref="B14:F14"/>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6"/>
  <sheetViews>
    <sheetView showGridLines="0" topLeftCell="A3" zoomScaleNormal="100" workbookViewId="0">
      <selection activeCell="B16" sqref="B16"/>
    </sheetView>
  </sheetViews>
  <sheetFormatPr defaultColWidth="8.7109375" defaultRowHeight="15" x14ac:dyDescent="0.25"/>
  <cols>
    <col min="1" max="1" width="3" customWidth="1"/>
    <col min="2" max="6" width="20" customWidth="1"/>
  </cols>
  <sheetData>
    <row r="1" spans="1:6" ht="25.5" customHeight="1" x14ac:dyDescent="0.25">
      <c r="A1" s="27" t="s">
        <v>405</v>
      </c>
      <c r="B1" s="27"/>
      <c r="C1" s="27"/>
      <c r="D1" s="27"/>
      <c r="E1" s="27"/>
      <c r="F1" s="27"/>
    </row>
    <row r="3" spans="1:6" x14ac:dyDescent="0.25">
      <c r="B3" s="3" t="s">
        <v>406</v>
      </c>
    </row>
    <row r="4" spans="1:6" ht="27.75" customHeight="1" x14ac:dyDescent="0.25">
      <c r="B4" s="26" t="s">
        <v>407</v>
      </c>
      <c r="C4" s="26"/>
      <c r="D4" s="26"/>
      <c r="E4" s="26"/>
      <c r="F4" s="26"/>
    </row>
    <row r="5" spans="1:6" x14ac:dyDescent="0.25">
      <c r="B5" s="10" t="s">
        <v>380</v>
      </c>
    </row>
    <row r="6" spans="1:6" ht="19.5" customHeight="1" x14ac:dyDescent="0.25">
      <c r="B6" s="11" t="s">
        <v>444</v>
      </c>
    </row>
    <row r="8" spans="1:6" x14ac:dyDescent="0.25">
      <c r="B8" s="3" t="s">
        <v>408</v>
      </c>
    </row>
    <row r="9" spans="1:6" ht="18" customHeight="1" x14ac:dyDescent="0.25">
      <c r="B9" s="26" t="s">
        <v>409</v>
      </c>
      <c r="C9" s="26"/>
      <c r="D9" s="26"/>
      <c r="E9" s="26"/>
      <c r="F9" s="26"/>
    </row>
    <row r="10" spans="1:6" x14ac:dyDescent="0.25">
      <c r="B10" s="10" t="s">
        <v>380</v>
      </c>
    </row>
    <row r="11" spans="1:6" ht="19.5" customHeight="1" x14ac:dyDescent="0.25">
      <c r="B11" s="25" t="s">
        <v>429</v>
      </c>
    </row>
    <row r="13" spans="1:6" x14ac:dyDescent="0.25">
      <c r="B13" s="3" t="s">
        <v>410</v>
      </c>
    </row>
    <row r="14" spans="1:6" ht="27.75" customHeight="1" x14ac:dyDescent="0.25">
      <c r="B14" s="26" t="s">
        <v>411</v>
      </c>
      <c r="C14" s="26"/>
      <c r="D14" s="26"/>
      <c r="E14" s="26"/>
      <c r="F14" s="26"/>
    </row>
    <row r="15" spans="1:6" x14ac:dyDescent="0.25">
      <c r="B15" s="10" t="s">
        <v>326</v>
      </c>
    </row>
    <row r="16" spans="1:6" ht="19.5" customHeight="1" x14ac:dyDescent="0.25">
      <c r="B16" s="25" t="s">
        <v>449</v>
      </c>
    </row>
  </sheetData>
  <mergeCells count="4">
    <mergeCell ref="A1:F1"/>
    <mergeCell ref="B4:F4"/>
    <mergeCell ref="B9:F9"/>
    <mergeCell ref="B14:F14"/>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D0F4D16-E883-4A69-B692-967FE7BA59E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2</vt:i4>
      </vt:variant>
    </vt:vector>
  </HeadingPairs>
  <TitlesOfParts>
    <vt:vector size="15" baseType="lpstr">
      <vt:lpstr>Instrukcja</vt:lpstr>
      <vt:lpstr>Dane</vt:lpstr>
      <vt:lpstr>Produkty</vt:lpstr>
      <vt:lpstr>Z1_Funkcje_podstawowe</vt:lpstr>
      <vt:lpstr>Z2_Wyszukiwanie</vt:lpstr>
      <vt:lpstr>Z3_Tekst</vt:lpstr>
      <vt:lpstr>Z4_Agregacja_warunkowa</vt:lpstr>
      <vt:lpstr>Z5_Tabele</vt:lpstr>
      <vt:lpstr>Zestawienia</vt:lpstr>
      <vt:lpstr>Z6_Zestawienia</vt:lpstr>
      <vt:lpstr>Wizualizacje</vt:lpstr>
      <vt:lpstr>Z7_Wizualizacje</vt:lpstr>
      <vt:lpstr>Z8_Filtrowanie</vt:lpstr>
      <vt:lpstr>Tbl_Dane</vt:lpstr>
      <vt:lpstr>Tbl_Transakcje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Rafał Borusiewicz</cp:lastModifiedBy>
  <cp:revision>0</cp:revision>
  <dcterms:created xsi:type="dcterms:W3CDTF">2026-08-29T10:13:09Z</dcterms:created>
  <dcterms:modified xsi:type="dcterms:W3CDTF">2026-09-05T09:12:48Z</dcterms:modified>
  <dc:language>en-US</dc:language>
</cp:coreProperties>
</file>